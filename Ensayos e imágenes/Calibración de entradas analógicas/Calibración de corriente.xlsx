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esktop\"/>
    </mc:Choice>
  </mc:AlternateContent>
  <xr:revisionPtr revIDLastSave="0" documentId="8_{69C4ED07-FF63-4199-803C-453727D8A646}" xr6:coauthVersionLast="47" xr6:coauthVersionMax="47" xr10:uidLastSave="{00000000-0000-0000-0000-000000000000}"/>
  <bookViews>
    <workbookView xWindow="-120" yWindow="-120" windowWidth="29040" windowHeight="15720" xr2:uid="{DFC0EB5E-C7E6-4C2B-ACC7-26094145E38A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D7" i="2"/>
  <c r="Y27" i="2"/>
  <c r="AC27" i="2" s="1"/>
  <c r="Y28" i="2"/>
  <c r="Y29" i="2"/>
  <c r="Y16" i="2"/>
  <c r="AC16" i="2" s="1"/>
  <c r="Y17" i="2"/>
  <c r="Q29" i="2"/>
  <c r="I29" i="2"/>
  <c r="AB29" i="2" s="1"/>
  <c r="Q28" i="2"/>
  <c r="I28" i="2"/>
  <c r="Q27" i="2"/>
  <c r="I27" i="2"/>
  <c r="AB27" i="2" s="1"/>
  <c r="Y26" i="2"/>
  <c r="Q26" i="2"/>
  <c r="AC26" i="2" s="1"/>
  <c r="I26" i="2"/>
  <c r="Y25" i="2"/>
  <c r="Q25" i="2"/>
  <c r="I25" i="2"/>
  <c r="Y24" i="2"/>
  <c r="Q24" i="2"/>
  <c r="AC24" i="2" s="1"/>
  <c r="I24" i="2"/>
  <c r="AB24" i="2" s="1"/>
  <c r="Y13" i="2"/>
  <c r="Y14" i="2"/>
  <c r="Y15" i="2"/>
  <c r="AC15" i="2" s="1"/>
  <c r="Q13" i="2"/>
  <c r="Q14" i="2"/>
  <c r="Q15" i="2"/>
  <c r="Q16" i="2"/>
  <c r="Q17" i="2"/>
  <c r="I13" i="2"/>
  <c r="AB13" i="2" s="1"/>
  <c r="I14" i="2"/>
  <c r="AB14" i="2" s="1"/>
  <c r="I15" i="2"/>
  <c r="AB15" i="2" s="1"/>
  <c r="I16" i="2"/>
  <c r="AB16" i="2" s="1"/>
  <c r="I17" i="2"/>
  <c r="AB17" i="2" s="1"/>
  <c r="Q12" i="2"/>
  <c r="I12" i="2"/>
  <c r="AB12" i="2" s="1"/>
  <c r="Y12" i="2"/>
  <c r="AC12" i="2" s="1"/>
  <c r="AD12" i="2" s="1"/>
  <c r="AD26" i="2" l="1"/>
  <c r="AC17" i="2"/>
  <c r="AD17" i="2" s="1"/>
  <c r="AB25" i="2"/>
  <c r="AB28" i="2"/>
  <c r="AD16" i="2"/>
  <c r="AB26" i="2"/>
  <c r="AD15" i="2"/>
  <c r="AG15" i="2" s="1"/>
  <c r="AC14" i="2"/>
  <c r="AD14" i="2" s="1"/>
  <c r="AG14" i="2" s="1"/>
  <c r="AC29" i="2"/>
  <c r="AD29" i="2" s="1"/>
  <c r="AD24" i="2"/>
  <c r="AG12" i="2" s="1"/>
  <c r="AD27" i="2"/>
  <c r="AC28" i="2"/>
  <c r="AD28" i="2" s="1"/>
  <c r="AG16" i="2" s="1"/>
  <c r="AC25" i="2"/>
  <c r="AD25" i="2" s="1"/>
  <c r="AC13" i="2"/>
  <c r="AD13" i="2" s="1"/>
  <c r="AG17" i="2" l="1"/>
  <c r="AG13" i="2"/>
</calcChain>
</file>

<file path=xl/sharedStrings.xml><?xml version="1.0" encoding="utf-8"?>
<sst xmlns="http://schemas.openxmlformats.org/spreadsheetml/2006/main" count="83" uniqueCount="23">
  <si>
    <t>r</t>
  </si>
  <si>
    <t>s</t>
  </si>
  <si>
    <t>t</t>
  </si>
  <si>
    <t>u</t>
  </si>
  <si>
    <t>v</t>
  </si>
  <si>
    <t>w</t>
  </si>
  <si>
    <t>Constantes de escala positiva</t>
  </si>
  <si>
    <t>0 %</t>
  </si>
  <si>
    <t>promedio</t>
  </si>
  <si>
    <t>50 %</t>
  </si>
  <si>
    <t>95 %</t>
  </si>
  <si>
    <t>k1</t>
  </si>
  <si>
    <t>k2</t>
  </si>
  <si>
    <t>kprom</t>
  </si>
  <si>
    <t>Medición de Corriente positiva</t>
  </si>
  <si>
    <t>Medición de Corriente negatriva</t>
  </si>
  <si>
    <t>R,S,T</t>
  </si>
  <si>
    <t>U,V,W</t>
  </si>
  <si>
    <t>50 % [V]</t>
  </si>
  <si>
    <t>95 % [V]</t>
  </si>
  <si>
    <t>100 % [V]</t>
  </si>
  <si>
    <t>Resolución [V/cuenta]</t>
  </si>
  <si>
    <t>Constantes de escala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</si>
</sst>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D7D7"/>
        <bgColor indexed="64"/>
      </patternFill>
    </fill>
    <fill>
      <patternFill patternType="solid">
        <fgColor rgb="FFAFD095"/>
        <bgColor indexed="64"/>
      </patternFill>
    </fill>
    <fill>
      <patternFill patternType="solid">
        <fgColor rgb="FFFFA6A6"/>
        <bgColor indexed="64"/>
      </patternFill>
    </fill>
    <fill>
      <patternFill patternType="solid">
        <fgColor rgb="FFDDDDDD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/>
      <top style="dotted">
        <color rgb="FF000000"/>
      </top>
      <bottom style="medium">
        <color rgb="FFCCCCCC"/>
      </bottom>
      <diagonal/>
    </border>
    <border>
      <left/>
      <right/>
      <top style="dotted">
        <color rgb="FF000000"/>
      </top>
      <bottom style="medium">
        <color rgb="FFCCCCCC"/>
      </bottom>
      <diagonal/>
    </border>
    <border>
      <left/>
      <right style="dotted">
        <color rgb="FF000000"/>
      </right>
      <top style="dotted">
        <color rgb="FF000000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2" borderId="11" xfId="0" applyFill="1" applyBorder="1" applyAlignment="1">
      <alignment horizontal="center" wrapText="1"/>
    </xf>
    <xf numFmtId="0" fontId="0" fillId="0" borderId="10" xfId="0" applyBorder="1" applyAlignment="1">
      <alignment wrapText="1"/>
    </xf>
    <xf numFmtId="0" fontId="0" fillId="2" borderId="9" xfId="0" applyFill="1" applyBorder="1" applyAlignment="1">
      <alignment horizontal="center" wrapText="1"/>
    </xf>
    <xf numFmtId="0" fontId="0" fillId="3" borderId="12" xfId="0" applyFill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4" borderId="9" xfId="0" applyFill="1" applyBorder="1" applyAlignment="1">
      <alignment horizontal="center" wrapText="1"/>
    </xf>
    <xf numFmtId="3" fontId="0" fillId="0" borderId="9" xfId="0" applyNumberFormat="1" applyBorder="1" applyAlignment="1">
      <alignment horizontal="center" wrapText="1"/>
    </xf>
    <xf numFmtId="3" fontId="0" fillId="4" borderId="9" xfId="0" applyNumberForma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0" borderId="19" xfId="0" applyBorder="1" applyAlignment="1">
      <alignment wrapText="1"/>
    </xf>
    <xf numFmtId="0" fontId="0" fillId="2" borderId="5" xfId="0" applyFill="1" applyBorder="1" applyAlignment="1">
      <alignment horizontal="center" wrapText="1"/>
    </xf>
    <xf numFmtId="0" fontId="0" fillId="5" borderId="9" xfId="0" applyFill="1" applyBorder="1" applyAlignment="1">
      <alignment horizontal="center" wrapText="1"/>
    </xf>
    <xf numFmtId="0" fontId="0" fillId="3" borderId="12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3" fontId="0" fillId="4" borderId="9" xfId="0" applyNumberForma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3" fontId="0" fillId="0" borderId="9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5C50-DD0B-4901-A1C6-1C8D86BB868B}">
  <dimension ref="C3:AG29"/>
  <sheetViews>
    <sheetView tabSelected="1" zoomScale="70" zoomScaleNormal="70" workbookViewId="0">
      <selection activeCell="E12" sqref="E12"/>
    </sheetView>
  </sheetViews>
  <sheetFormatPr defaultColWidth="11.42578125" defaultRowHeight="15" x14ac:dyDescent="0.25"/>
  <sheetData>
    <row r="3" spans="3:33" ht="15.75" thickBot="1" x14ac:dyDescent="0.3">
      <c r="C3" s="26"/>
      <c r="D3" s="27" t="s">
        <v>16</v>
      </c>
      <c r="E3" s="27" t="s">
        <v>17</v>
      </c>
    </row>
    <row r="4" spans="3:33" ht="15.75" thickBot="1" x14ac:dyDescent="0.3">
      <c r="C4" s="9" t="s">
        <v>18</v>
      </c>
      <c r="D4" s="10">
        <v>3.4</v>
      </c>
      <c r="E4" s="10">
        <v>3.4</v>
      </c>
    </row>
    <row r="5" spans="3:33" ht="15.75" thickBot="1" x14ac:dyDescent="0.3">
      <c r="C5" s="9" t="s">
        <v>19</v>
      </c>
      <c r="D5" s="28">
        <v>6.46</v>
      </c>
      <c r="E5" s="28">
        <v>6.46</v>
      </c>
    </row>
    <row r="6" spans="3:33" ht="15.75" thickBot="1" x14ac:dyDescent="0.3">
      <c r="C6" s="9" t="s">
        <v>20</v>
      </c>
      <c r="D6" s="10">
        <v>6.8</v>
      </c>
      <c r="E6" s="10">
        <v>6.8</v>
      </c>
    </row>
    <row r="7" spans="3:33" ht="30" x14ac:dyDescent="0.25">
      <c r="C7" s="29" t="s">
        <v>21</v>
      </c>
      <c r="D7" s="30">
        <f>D6*2/4095</f>
        <v>3.3211233211233211E-3</v>
      </c>
      <c r="E7" s="30">
        <f>E6*2/4095</f>
        <v>3.3211233211233211E-3</v>
      </c>
    </row>
    <row r="8" spans="3:33" ht="15.75" thickBot="1" x14ac:dyDescent="0.3"/>
    <row r="9" spans="3:33" ht="27" customHeight="1" thickBot="1" x14ac:dyDescent="0.45">
      <c r="C9" s="14" t="s">
        <v>14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6"/>
      <c r="AA9" s="1"/>
      <c r="AB9" s="17" t="s">
        <v>6</v>
      </c>
      <c r="AC9" s="18"/>
      <c r="AD9" s="19"/>
    </row>
    <row r="10" spans="3:33" ht="15.75" thickBot="1" x14ac:dyDescent="0.3">
      <c r="C10" s="2"/>
      <c r="D10" s="3"/>
      <c r="E10" s="3"/>
      <c r="F10" s="3"/>
      <c r="G10" s="3"/>
      <c r="H10" s="3"/>
      <c r="I10" s="4"/>
      <c r="J10" s="2"/>
      <c r="K10" s="2"/>
      <c r="L10" s="4"/>
      <c r="M10" s="4"/>
      <c r="N10" s="4"/>
      <c r="O10" s="4"/>
      <c r="P10" s="4"/>
      <c r="Q10" s="4"/>
      <c r="R10" s="2"/>
      <c r="S10" s="2"/>
      <c r="T10" s="3"/>
      <c r="U10" s="3"/>
      <c r="V10" s="3"/>
      <c r="W10" s="3"/>
      <c r="X10" s="3"/>
      <c r="Y10" s="4"/>
      <c r="Z10" s="2"/>
      <c r="AA10" s="2"/>
      <c r="AB10" s="3"/>
      <c r="AC10" s="3"/>
      <c r="AD10" s="3"/>
    </row>
    <row r="11" spans="3:33" ht="34.5" customHeight="1" thickBot="1" x14ac:dyDescent="0.3">
      <c r="C11" s="5"/>
      <c r="D11" s="20" t="s">
        <v>7</v>
      </c>
      <c r="E11" s="21"/>
      <c r="F11" s="21"/>
      <c r="G11" s="21"/>
      <c r="H11" s="22"/>
      <c r="I11" s="6" t="s">
        <v>8</v>
      </c>
      <c r="J11" s="2"/>
      <c r="K11" s="7"/>
      <c r="L11" s="23" t="s">
        <v>9</v>
      </c>
      <c r="M11" s="24"/>
      <c r="N11" s="24"/>
      <c r="O11" s="24"/>
      <c r="P11" s="25"/>
      <c r="Q11" s="6" t="s">
        <v>8</v>
      </c>
      <c r="R11" s="2"/>
      <c r="S11" s="5"/>
      <c r="T11" s="20" t="s">
        <v>10</v>
      </c>
      <c r="U11" s="21"/>
      <c r="V11" s="21"/>
      <c r="W11" s="21"/>
      <c r="X11" s="22"/>
      <c r="Y11" s="6" t="s">
        <v>8</v>
      </c>
      <c r="Z11" s="2"/>
      <c r="AA11" s="5"/>
      <c r="AB11" s="8" t="s">
        <v>11</v>
      </c>
      <c r="AC11" s="8" t="s">
        <v>12</v>
      </c>
      <c r="AD11" s="8" t="s">
        <v>13</v>
      </c>
      <c r="AF11" s="32" t="s">
        <v>22</v>
      </c>
      <c r="AG11" s="19"/>
    </row>
    <row r="12" spans="3:33" ht="15.75" thickBot="1" x14ac:dyDescent="0.3">
      <c r="C12" s="9" t="s">
        <v>0</v>
      </c>
      <c r="D12" s="10">
        <v>2060</v>
      </c>
      <c r="E12" s="10">
        <v>2053</v>
      </c>
      <c r="F12" s="10">
        <v>2055</v>
      </c>
      <c r="G12" s="10">
        <v>2054</v>
      </c>
      <c r="H12" s="10">
        <v>2056</v>
      </c>
      <c r="I12" s="11">
        <f>AVERAGE(D12:H12)</f>
        <v>2055.6</v>
      </c>
      <c r="J12" s="1"/>
      <c r="K12" s="9" t="s">
        <v>0</v>
      </c>
      <c r="L12">
        <v>3086</v>
      </c>
      <c r="M12">
        <v>3073</v>
      </c>
      <c r="N12">
        <v>3073</v>
      </c>
      <c r="O12">
        <v>3084</v>
      </c>
      <c r="P12">
        <v>3077</v>
      </c>
      <c r="Q12" s="11">
        <f>AVERAGE(L12:P12)</f>
        <v>3078.6</v>
      </c>
      <c r="R12" s="1"/>
      <c r="S12" s="9" t="s">
        <v>0</v>
      </c>
      <c r="T12">
        <v>3995</v>
      </c>
      <c r="U12">
        <v>4006</v>
      </c>
      <c r="V12">
        <v>4006</v>
      </c>
      <c r="W12">
        <v>4000</v>
      </c>
      <c r="X12">
        <v>4008</v>
      </c>
      <c r="Y12" s="11">
        <f>AVERAGE(T12:X12)</f>
        <v>4003</v>
      </c>
      <c r="Z12" s="1"/>
      <c r="AA12" s="9" t="s">
        <v>0</v>
      </c>
      <c r="AB12" s="12">
        <f>(M12-I12)/$D$4</f>
        <v>299.23529411764707</v>
      </c>
      <c r="AC12" s="12">
        <f>(Y12-Q12)/($D$5-$D$4)</f>
        <v>302.09150326797391</v>
      </c>
      <c r="AD12" s="13">
        <f>(AC12+AB12)/2</f>
        <v>300.66339869281046</v>
      </c>
      <c r="AF12" s="9" t="s">
        <v>0</v>
      </c>
      <c r="AG12" s="31">
        <f>(AD12+AD24)/2</f>
        <v>301.48529411764707</v>
      </c>
    </row>
    <row r="13" spans="3:33" ht="15.75" thickBot="1" x14ac:dyDescent="0.3">
      <c r="C13" s="9" t="s">
        <v>1</v>
      </c>
      <c r="D13" s="10">
        <v>2055</v>
      </c>
      <c r="E13" s="10">
        <v>2053</v>
      </c>
      <c r="F13" s="10">
        <v>2058</v>
      </c>
      <c r="G13" s="10">
        <v>2053</v>
      </c>
      <c r="H13" s="10">
        <v>2052</v>
      </c>
      <c r="I13" s="11">
        <f t="shared" ref="I13:I17" si="0">AVERAGE(D13:H13)</f>
        <v>2054.1999999999998</v>
      </c>
      <c r="J13" s="1"/>
      <c r="K13" s="9" t="s">
        <v>1</v>
      </c>
      <c r="L13">
        <v>3074</v>
      </c>
      <c r="M13">
        <v>3068</v>
      </c>
      <c r="N13">
        <v>3066</v>
      </c>
      <c r="O13">
        <v>3079</v>
      </c>
      <c r="P13">
        <v>3072</v>
      </c>
      <c r="Q13" s="11">
        <f t="shared" ref="Q13:Q17" si="1">AVERAGE(L13:P13)</f>
        <v>3071.8</v>
      </c>
      <c r="R13" s="1"/>
      <c r="S13" s="9" t="s">
        <v>1</v>
      </c>
      <c r="T13">
        <v>3989</v>
      </c>
      <c r="U13">
        <v>3990</v>
      </c>
      <c r="V13">
        <v>3991</v>
      </c>
      <c r="W13">
        <v>3993</v>
      </c>
      <c r="X13">
        <v>3995</v>
      </c>
      <c r="Y13" s="11">
        <f t="shared" ref="Y13:Y17" si="2">AVERAGE(T13:X13)</f>
        <v>3991.6</v>
      </c>
      <c r="Z13" s="1"/>
      <c r="AA13" s="9" t="s">
        <v>1</v>
      </c>
      <c r="AB13" s="12">
        <f t="shared" ref="AB13:AB17" si="3">(M13-I13)/$D$4</f>
        <v>298.17647058823536</v>
      </c>
      <c r="AC13" s="12">
        <f t="shared" ref="AC13:AC17" si="4">(Y13-Q13)/($D$5-$D$4)</f>
        <v>300.58823529411757</v>
      </c>
      <c r="AD13" s="13">
        <f t="shared" ref="AD13:AD17" si="5">(AC13+AB13)/2</f>
        <v>299.38235294117646</v>
      </c>
      <c r="AF13" s="9" t="s">
        <v>1</v>
      </c>
      <c r="AG13" s="31">
        <f t="shared" ref="AG13:AG17" si="6">(AD13+AD25)/2</f>
        <v>300.26797385620915</v>
      </c>
    </row>
    <row r="14" spans="3:33" ht="15.75" thickBot="1" x14ac:dyDescent="0.3">
      <c r="C14" s="9" t="s">
        <v>2</v>
      </c>
      <c r="D14" s="10">
        <v>2067</v>
      </c>
      <c r="E14" s="10">
        <v>2065</v>
      </c>
      <c r="F14" s="10">
        <v>2064</v>
      </c>
      <c r="G14" s="10">
        <v>2065</v>
      </c>
      <c r="H14" s="10">
        <v>2064</v>
      </c>
      <c r="I14" s="11">
        <f t="shared" si="0"/>
        <v>2065</v>
      </c>
      <c r="J14" s="1"/>
      <c r="K14" s="9" t="s">
        <v>2</v>
      </c>
      <c r="L14">
        <v>3086</v>
      </c>
      <c r="M14">
        <v>3076</v>
      </c>
      <c r="N14">
        <v>3076</v>
      </c>
      <c r="O14">
        <v>3090</v>
      </c>
      <c r="P14">
        <v>3081</v>
      </c>
      <c r="Q14" s="11">
        <f t="shared" si="1"/>
        <v>3081.8</v>
      </c>
      <c r="R14" s="1"/>
      <c r="S14" s="9" t="s">
        <v>2</v>
      </c>
      <c r="T14">
        <v>3994</v>
      </c>
      <c r="U14">
        <v>3999</v>
      </c>
      <c r="V14">
        <v>4005</v>
      </c>
      <c r="W14">
        <v>3997</v>
      </c>
      <c r="X14">
        <v>4006</v>
      </c>
      <c r="Y14" s="11">
        <f t="shared" si="2"/>
        <v>4000.2</v>
      </c>
      <c r="Z14" s="1"/>
      <c r="AA14" s="9" t="s">
        <v>2</v>
      </c>
      <c r="AB14" s="12">
        <f t="shared" si="3"/>
        <v>297.35294117647061</v>
      </c>
      <c r="AC14" s="12">
        <f t="shared" si="4"/>
        <v>300.13071895424827</v>
      </c>
      <c r="AD14" s="13">
        <f t="shared" si="5"/>
        <v>298.74183006535941</v>
      </c>
      <c r="AF14" s="9" t="s">
        <v>2</v>
      </c>
      <c r="AG14" s="31">
        <f t="shared" si="6"/>
        <v>299.95261437908493</v>
      </c>
    </row>
    <row r="15" spans="3:33" ht="15.75" thickBot="1" x14ac:dyDescent="0.3">
      <c r="C15" s="9" t="s">
        <v>3</v>
      </c>
      <c r="D15" s="10">
        <v>2064</v>
      </c>
      <c r="E15" s="10">
        <v>2066</v>
      </c>
      <c r="F15" s="10">
        <v>2068</v>
      </c>
      <c r="G15" s="10">
        <v>2062</v>
      </c>
      <c r="H15" s="10">
        <v>2067</v>
      </c>
      <c r="I15" s="11">
        <f t="shared" si="0"/>
        <v>2065.4</v>
      </c>
      <c r="J15" s="1"/>
      <c r="K15" s="9" t="s">
        <v>3</v>
      </c>
      <c r="L15">
        <v>3093</v>
      </c>
      <c r="M15">
        <v>3084</v>
      </c>
      <c r="N15">
        <v>3080</v>
      </c>
      <c r="O15">
        <v>3092</v>
      </c>
      <c r="P15">
        <v>3092</v>
      </c>
      <c r="Q15" s="11">
        <f t="shared" si="1"/>
        <v>3088.2</v>
      </c>
      <c r="R15" s="1"/>
      <c r="S15" s="9" t="s">
        <v>3</v>
      </c>
      <c r="T15">
        <v>4007</v>
      </c>
      <c r="U15">
        <v>4015</v>
      </c>
      <c r="V15">
        <v>4012</v>
      </c>
      <c r="W15">
        <v>4011</v>
      </c>
      <c r="X15">
        <v>4018</v>
      </c>
      <c r="Y15" s="11">
        <f t="shared" si="2"/>
        <v>4012.6</v>
      </c>
      <c r="Z15" s="1"/>
      <c r="AA15" s="9" t="s">
        <v>3</v>
      </c>
      <c r="AB15" s="12">
        <f t="shared" si="3"/>
        <v>299.58823529411762</v>
      </c>
      <c r="AC15" s="12">
        <f t="shared" si="4"/>
        <v>302.09150326797391</v>
      </c>
      <c r="AD15" s="13">
        <f t="shared" si="5"/>
        <v>300.83986928104576</v>
      </c>
      <c r="AF15" s="9" t="s">
        <v>3</v>
      </c>
      <c r="AG15" s="31">
        <f t="shared" si="6"/>
        <v>301.93137254901961</v>
      </c>
    </row>
    <row r="16" spans="3:33" ht="15.75" thickBot="1" x14ac:dyDescent="0.3">
      <c r="C16" s="9" t="s">
        <v>4</v>
      </c>
      <c r="D16" s="10">
        <v>2058</v>
      </c>
      <c r="E16" s="10">
        <v>2052</v>
      </c>
      <c r="F16" s="10">
        <v>2053</v>
      </c>
      <c r="G16" s="10">
        <v>2053</v>
      </c>
      <c r="H16" s="10">
        <v>2056</v>
      </c>
      <c r="I16" s="11">
        <f t="shared" si="0"/>
        <v>2054.4</v>
      </c>
      <c r="J16" s="1"/>
      <c r="K16" s="9" t="s">
        <v>4</v>
      </c>
      <c r="L16">
        <v>3082</v>
      </c>
      <c r="M16">
        <v>3072</v>
      </c>
      <c r="N16">
        <v>3069</v>
      </c>
      <c r="O16">
        <v>3083</v>
      </c>
      <c r="P16">
        <v>3074</v>
      </c>
      <c r="Q16" s="11">
        <f t="shared" si="1"/>
        <v>3076</v>
      </c>
      <c r="R16" s="1"/>
      <c r="S16" s="9" t="s">
        <v>4</v>
      </c>
      <c r="T16">
        <v>3994</v>
      </c>
      <c r="U16">
        <v>3998</v>
      </c>
      <c r="V16">
        <v>3999</v>
      </c>
      <c r="W16">
        <v>3997</v>
      </c>
      <c r="X16">
        <v>3998</v>
      </c>
      <c r="Y16" s="11">
        <f t="shared" si="2"/>
        <v>3997.2</v>
      </c>
      <c r="Z16" s="1"/>
      <c r="AA16" s="9" t="s">
        <v>4</v>
      </c>
      <c r="AB16" s="12">
        <f t="shared" si="3"/>
        <v>299.29411764705878</v>
      </c>
      <c r="AC16" s="12">
        <f t="shared" si="4"/>
        <v>301.04575163398687</v>
      </c>
      <c r="AD16" s="13">
        <f t="shared" si="5"/>
        <v>300.1699346405228</v>
      </c>
      <c r="AF16" s="9" t="s">
        <v>4</v>
      </c>
      <c r="AG16" s="31">
        <f t="shared" si="6"/>
        <v>301.10620915032678</v>
      </c>
    </row>
    <row r="17" spans="3:33" ht="15.75" thickBot="1" x14ac:dyDescent="0.3">
      <c r="C17" s="9" t="s">
        <v>5</v>
      </c>
      <c r="D17" s="10">
        <v>2055</v>
      </c>
      <c r="E17" s="10">
        <v>2062</v>
      </c>
      <c r="F17" s="10">
        <v>2079</v>
      </c>
      <c r="G17" s="10">
        <v>2069</v>
      </c>
      <c r="H17" s="10">
        <v>2062</v>
      </c>
      <c r="I17" s="11">
        <f t="shared" si="0"/>
        <v>2065.4</v>
      </c>
      <c r="J17" s="1"/>
      <c r="K17" s="9" t="s">
        <v>5</v>
      </c>
      <c r="L17">
        <v>3090</v>
      </c>
      <c r="M17">
        <v>3074</v>
      </c>
      <c r="N17">
        <v>3078</v>
      </c>
      <c r="O17">
        <v>3087</v>
      </c>
      <c r="P17">
        <v>3103</v>
      </c>
      <c r="Q17" s="11">
        <f t="shared" si="1"/>
        <v>3086.4</v>
      </c>
      <c r="R17" s="1"/>
      <c r="S17" s="9" t="s">
        <v>5</v>
      </c>
      <c r="T17">
        <v>4003</v>
      </c>
      <c r="U17">
        <v>4004</v>
      </c>
      <c r="V17">
        <v>4015</v>
      </c>
      <c r="W17">
        <v>4010</v>
      </c>
      <c r="X17">
        <v>3997</v>
      </c>
      <c r="Y17" s="11">
        <f t="shared" si="2"/>
        <v>4005.8</v>
      </c>
      <c r="Z17" s="1"/>
      <c r="AA17" s="9" t="s">
        <v>5</v>
      </c>
      <c r="AB17" s="12">
        <f t="shared" si="3"/>
        <v>296.64705882352939</v>
      </c>
      <c r="AC17" s="12">
        <f t="shared" si="4"/>
        <v>300.4575163398693</v>
      </c>
      <c r="AD17" s="13">
        <f t="shared" si="5"/>
        <v>298.55228758169937</v>
      </c>
      <c r="AF17" s="9" t="s">
        <v>5</v>
      </c>
      <c r="AG17" s="31">
        <f t="shared" si="6"/>
        <v>299.93464052287584</v>
      </c>
    </row>
    <row r="18" spans="3:33" ht="15.75" thickBot="1" x14ac:dyDescent="0.3">
      <c r="AF18" s="33"/>
      <c r="AG18" s="34"/>
    </row>
    <row r="19" spans="3:33" ht="15.75" thickBot="1" x14ac:dyDescent="0.3">
      <c r="AF19" s="33"/>
      <c r="AG19" s="34"/>
    </row>
    <row r="20" spans="3:33" ht="15.75" thickBot="1" x14ac:dyDescent="0.3">
      <c r="AF20" s="33"/>
      <c r="AG20" s="34"/>
    </row>
    <row r="21" spans="3:33" ht="27" thickBot="1" x14ac:dyDescent="0.45">
      <c r="C21" s="14" t="s">
        <v>15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6"/>
      <c r="AA21" s="1"/>
      <c r="AB21" s="17" t="s">
        <v>6</v>
      </c>
      <c r="AC21" s="18"/>
      <c r="AD21" s="19"/>
      <c r="AF21" s="33"/>
      <c r="AG21" s="34"/>
    </row>
    <row r="22" spans="3:33" ht="15.75" thickBot="1" x14ac:dyDescent="0.3">
      <c r="C22" s="2"/>
      <c r="D22" s="3"/>
      <c r="E22" s="3"/>
      <c r="F22" s="3"/>
      <c r="G22" s="3"/>
      <c r="H22" s="3"/>
      <c r="I22" s="4"/>
      <c r="J22" s="2"/>
      <c r="K22" s="2"/>
      <c r="L22" s="4"/>
      <c r="M22" s="4"/>
      <c r="N22" s="4"/>
      <c r="O22" s="4"/>
      <c r="P22" s="4"/>
      <c r="Q22" s="4"/>
      <c r="R22" s="2"/>
      <c r="S22" s="2"/>
      <c r="T22" s="3"/>
      <c r="U22" s="3"/>
      <c r="V22" s="3"/>
      <c r="W22" s="3"/>
      <c r="X22" s="3"/>
      <c r="Y22" s="4"/>
      <c r="Z22" s="2"/>
      <c r="AA22" s="2"/>
      <c r="AB22" s="3"/>
      <c r="AC22" s="3"/>
      <c r="AD22" s="3"/>
    </row>
    <row r="23" spans="3:33" ht="15.75" thickBot="1" x14ac:dyDescent="0.3">
      <c r="C23" s="5"/>
      <c r="D23" s="20" t="s">
        <v>7</v>
      </c>
      <c r="E23" s="21"/>
      <c r="F23" s="21"/>
      <c r="G23" s="21"/>
      <c r="H23" s="22"/>
      <c r="I23" s="6" t="s">
        <v>8</v>
      </c>
      <c r="J23" s="2"/>
      <c r="K23" s="7"/>
      <c r="L23" s="23" t="s">
        <v>9</v>
      </c>
      <c r="M23" s="24"/>
      <c r="N23" s="24"/>
      <c r="O23" s="24"/>
      <c r="P23" s="25"/>
      <c r="Q23" s="6" t="s">
        <v>8</v>
      </c>
      <c r="R23" s="2"/>
      <c r="S23" s="5"/>
      <c r="T23" s="20" t="s">
        <v>10</v>
      </c>
      <c r="U23" s="21"/>
      <c r="V23" s="21"/>
      <c r="W23" s="21"/>
      <c r="X23" s="22"/>
      <c r="Y23" s="6" t="s">
        <v>8</v>
      </c>
      <c r="Z23" s="2"/>
      <c r="AA23" s="5"/>
      <c r="AB23" s="8" t="s">
        <v>11</v>
      </c>
      <c r="AC23" s="8" t="s">
        <v>12</v>
      </c>
      <c r="AD23" s="8" t="s">
        <v>13</v>
      </c>
    </row>
    <row r="24" spans="3:33" ht="15.75" thickBot="1" x14ac:dyDescent="0.3">
      <c r="C24" s="9" t="s">
        <v>0</v>
      </c>
      <c r="D24" s="10">
        <v>2060</v>
      </c>
      <c r="E24" s="10">
        <v>2053</v>
      </c>
      <c r="F24" s="10">
        <v>2055</v>
      </c>
      <c r="G24" s="10">
        <v>2054</v>
      </c>
      <c r="H24" s="10">
        <v>2056</v>
      </c>
      <c r="I24" s="11">
        <f>AVERAGE(D24:H24)</f>
        <v>2055.6</v>
      </c>
      <c r="J24" s="1"/>
      <c r="K24" s="9" t="s">
        <v>0</v>
      </c>
      <c r="L24">
        <v>1025</v>
      </c>
      <c r="M24">
        <v>1023</v>
      </c>
      <c r="N24">
        <v>1028</v>
      </c>
      <c r="O24">
        <v>1027</v>
      </c>
      <c r="P24">
        <v>1031</v>
      </c>
      <c r="Q24" s="11">
        <f>AVERAGE(L24:P24)</f>
        <v>1026.8</v>
      </c>
      <c r="R24" s="1"/>
      <c r="S24" s="9" t="s">
        <v>0</v>
      </c>
      <c r="T24">
        <v>101</v>
      </c>
      <c r="U24">
        <v>97</v>
      </c>
      <c r="V24">
        <v>109</v>
      </c>
      <c r="W24">
        <v>98</v>
      </c>
      <c r="X24">
        <v>108</v>
      </c>
      <c r="Y24" s="11">
        <f>AVERAGE(T24:X24)</f>
        <v>102.6</v>
      </c>
      <c r="Z24" s="1"/>
      <c r="AA24" s="9" t="s">
        <v>0</v>
      </c>
      <c r="AB24" s="12">
        <f>(I24-Q24)/$D$4</f>
        <v>302.58823529411762</v>
      </c>
      <c r="AC24" s="12">
        <f>-(Q24-Y24)/($D$4-$D$5)</f>
        <v>302.02614379084963</v>
      </c>
      <c r="AD24" s="13">
        <f>(AC24+AB24)/2</f>
        <v>302.30718954248363</v>
      </c>
    </row>
    <row r="25" spans="3:33" ht="15.75" thickBot="1" x14ac:dyDescent="0.3">
      <c r="C25" s="9" t="s">
        <v>1</v>
      </c>
      <c r="D25" s="10">
        <v>2055</v>
      </c>
      <c r="E25" s="10">
        <v>2053</v>
      </c>
      <c r="F25" s="10">
        <v>2058</v>
      </c>
      <c r="G25" s="10">
        <v>2053</v>
      </c>
      <c r="H25" s="10">
        <v>2052</v>
      </c>
      <c r="I25" s="11">
        <f t="shared" ref="I25:I29" si="7">AVERAGE(D25:H25)</f>
        <v>2054.1999999999998</v>
      </c>
      <c r="J25" s="1"/>
      <c r="K25" s="9" t="s">
        <v>1</v>
      </c>
      <c r="L25">
        <v>1028</v>
      </c>
      <c r="M25">
        <v>1023</v>
      </c>
      <c r="N25">
        <v>1030</v>
      </c>
      <c r="O25">
        <v>1029</v>
      </c>
      <c r="P25">
        <v>1034</v>
      </c>
      <c r="Q25" s="11">
        <f t="shared" ref="Q25:Q29" si="8">AVERAGE(L25:P25)</f>
        <v>1028.8</v>
      </c>
      <c r="R25" s="1"/>
      <c r="S25" s="9" t="s">
        <v>1</v>
      </c>
      <c r="T25">
        <v>104</v>
      </c>
      <c r="U25">
        <v>104</v>
      </c>
      <c r="V25">
        <v>117</v>
      </c>
      <c r="W25">
        <v>104</v>
      </c>
      <c r="X25">
        <v>114</v>
      </c>
      <c r="Y25" s="11">
        <f t="shared" ref="Y25:Y29" si="9">AVERAGE(T25:X25)</f>
        <v>108.6</v>
      </c>
      <c r="Z25" s="1"/>
      <c r="AA25" s="9" t="s">
        <v>1</v>
      </c>
      <c r="AB25" s="12">
        <f t="shared" ref="AB25:AB29" si="10">(I25-Q25)/$D$4</f>
        <v>301.58823529411762</v>
      </c>
      <c r="AC25" s="12">
        <f t="shared" ref="AC25:AC29" si="11">-(Q25-Y25)/($D$4-$D$5)</f>
        <v>300.718954248366</v>
      </c>
      <c r="AD25" s="13">
        <f t="shared" ref="AD25:AD29" si="12">(AC25+AB25)/2</f>
        <v>301.15359477124184</v>
      </c>
    </row>
    <row r="26" spans="3:33" ht="15.75" thickBot="1" x14ac:dyDescent="0.3">
      <c r="C26" s="9" t="s">
        <v>2</v>
      </c>
      <c r="D26" s="10">
        <v>2067</v>
      </c>
      <c r="E26" s="10">
        <v>2065</v>
      </c>
      <c r="F26" s="10">
        <v>2064</v>
      </c>
      <c r="G26" s="10">
        <v>2065</v>
      </c>
      <c r="H26" s="10">
        <v>2064</v>
      </c>
      <c r="I26" s="11">
        <f t="shared" si="7"/>
        <v>2065</v>
      </c>
      <c r="J26" s="1"/>
      <c r="K26" s="9" t="s">
        <v>2</v>
      </c>
      <c r="L26">
        <v>1041</v>
      </c>
      <c r="M26">
        <v>1035</v>
      </c>
      <c r="N26">
        <v>1039</v>
      </c>
      <c r="O26">
        <v>1037</v>
      </c>
      <c r="P26">
        <v>1039</v>
      </c>
      <c r="Q26" s="11">
        <f t="shared" si="8"/>
        <v>1038.2</v>
      </c>
      <c r="R26" s="1"/>
      <c r="S26" s="9" t="s">
        <v>2</v>
      </c>
      <c r="T26">
        <v>117</v>
      </c>
      <c r="U26">
        <v>114</v>
      </c>
      <c r="V26">
        <v>127</v>
      </c>
      <c r="W26">
        <v>116</v>
      </c>
      <c r="X26">
        <v>122</v>
      </c>
      <c r="Y26" s="11">
        <f t="shared" si="9"/>
        <v>119.2</v>
      </c>
      <c r="Z26" s="1"/>
      <c r="AA26" s="9" t="s">
        <v>2</v>
      </c>
      <c r="AB26" s="12">
        <f t="shared" si="10"/>
        <v>302</v>
      </c>
      <c r="AC26" s="12">
        <f t="shared" si="11"/>
        <v>300.32679738562092</v>
      </c>
      <c r="AD26" s="13">
        <f t="shared" si="12"/>
        <v>301.16339869281046</v>
      </c>
    </row>
    <row r="27" spans="3:33" ht="15.75" thickBot="1" x14ac:dyDescent="0.3">
      <c r="C27" s="9" t="s">
        <v>3</v>
      </c>
      <c r="D27" s="10">
        <v>2064</v>
      </c>
      <c r="E27" s="10">
        <v>2066</v>
      </c>
      <c r="F27" s="10">
        <v>2068</v>
      </c>
      <c r="G27" s="10">
        <v>2062</v>
      </c>
      <c r="H27" s="10">
        <v>2067</v>
      </c>
      <c r="I27" s="11">
        <f t="shared" si="7"/>
        <v>2065.4</v>
      </c>
      <c r="J27" s="1"/>
      <c r="K27" s="9" t="s">
        <v>3</v>
      </c>
      <c r="L27">
        <v>1032</v>
      </c>
      <c r="M27">
        <v>1030</v>
      </c>
      <c r="N27">
        <v>1028</v>
      </c>
      <c r="O27">
        <v>1032</v>
      </c>
      <c r="P27">
        <v>1040</v>
      </c>
      <c r="Q27" s="11">
        <f t="shared" si="8"/>
        <v>1032.4000000000001</v>
      </c>
      <c r="R27" s="1"/>
      <c r="S27" s="9" t="s">
        <v>3</v>
      </c>
      <c r="T27">
        <v>105</v>
      </c>
      <c r="U27">
        <v>103</v>
      </c>
      <c r="V27">
        <v>117</v>
      </c>
      <c r="W27">
        <v>102</v>
      </c>
      <c r="X27">
        <v>111</v>
      </c>
      <c r="Y27" s="11">
        <f t="shared" si="9"/>
        <v>107.6</v>
      </c>
      <c r="Z27" s="1"/>
      <c r="AA27" s="9" t="s">
        <v>3</v>
      </c>
      <c r="AB27" s="12">
        <f t="shared" si="10"/>
        <v>303.8235294117647</v>
      </c>
      <c r="AC27" s="12">
        <f t="shared" si="11"/>
        <v>302.22222222222223</v>
      </c>
      <c r="AD27" s="13">
        <f t="shared" si="12"/>
        <v>303.02287581699346</v>
      </c>
    </row>
    <row r="28" spans="3:33" ht="15.75" thickBot="1" x14ac:dyDescent="0.3">
      <c r="C28" s="9" t="s">
        <v>4</v>
      </c>
      <c r="D28" s="10">
        <v>2058</v>
      </c>
      <c r="E28" s="10">
        <v>2052</v>
      </c>
      <c r="F28" s="10">
        <v>2053</v>
      </c>
      <c r="G28" s="10">
        <v>2053</v>
      </c>
      <c r="H28" s="10">
        <v>2056</v>
      </c>
      <c r="I28" s="11">
        <f t="shared" si="7"/>
        <v>2054.4</v>
      </c>
      <c r="J28" s="1"/>
      <c r="K28" s="9" t="s">
        <v>4</v>
      </c>
      <c r="L28">
        <v>1029</v>
      </c>
      <c r="M28">
        <v>1026</v>
      </c>
      <c r="N28">
        <v>1027</v>
      </c>
      <c r="O28">
        <v>1026</v>
      </c>
      <c r="P28">
        <v>1029</v>
      </c>
      <c r="Q28" s="11">
        <f t="shared" si="8"/>
        <v>1027.4000000000001</v>
      </c>
      <c r="R28" s="1"/>
      <c r="S28" s="9" t="s">
        <v>4</v>
      </c>
      <c r="T28">
        <v>100</v>
      </c>
      <c r="U28">
        <v>101</v>
      </c>
      <c r="V28">
        <v>108</v>
      </c>
      <c r="W28">
        <v>100</v>
      </c>
      <c r="X28">
        <v>107</v>
      </c>
      <c r="Y28" s="11">
        <f t="shared" si="9"/>
        <v>103.2</v>
      </c>
      <c r="Z28" s="1"/>
      <c r="AA28" s="9" t="s">
        <v>4</v>
      </c>
      <c r="AB28" s="12">
        <f t="shared" si="10"/>
        <v>302.05882352941177</v>
      </c>
      <c r="AC28" s="12">
        <f t="shared" si="11"/>
        <v>302.02614379084969</v>
      </c>
      <c r="AD28" s="13">
        <f t="shared" si="12"/>
        <v>302.04248366013076</v>
      </c>
    </row>
    <row r="29" spans="3:33" ht="15.75" thickBot="1" x14ac:dyDescent="0.3">
      <c r="C29" s="9" t="s">
        <v>5</v>
      </c>
      <c r="D29" s="10">
        <v>2055</v>
      </c>
      <c r="E29" s="10">
        <v>2062</v>
      </c>
      <c r="F29" s="10">
        <v>2079</v>
      </c>
      <c r="G29" s="10">
        <v>2069</v>
      </c>
      <c r="H29" s="10">
        <v>2062</v>
      </c>
      <c r="I29" s="11">
        <f t="shared" si="7"/>
        <v>2065.4</v>
      </c>
      <c r="J29" s="1"/>
      <c r="K29" s="9" t="s">
        <v>5</v>
      </c>
      <c r="L29">
        <v>1034</v>
      </c>
      <c r="M29">
        <v>1033</v>
      </c>
      <c r="N29">
        <v>1038</v>
      </c>
      <c r="O29">
        <v>1026</v>
      </c>
      <c r="P29">
        <v>1039</v>
      </c>
      <c r="Q29" s="11">
        <f t="shared" si="8"/>
        <v>1034</v>
      </c>
      <c r="R29" s="1"/>
      <c r="S29" s="9" t="s">
        <v>5</v>
      </c>
      <c r="T29">
        <v>127</v>
      </c>
      <c r="U29">
        <v>108</v>
      </c>
      <c r="V29">
        <v>130</v>
      </c>
      <c r="W29">
        <v>106</v>
      </c>
      <c r="X29">
        <v>120</v>
      </c>
      <c r="Y29" s="11">
        <f t="shared" si="9"/>
        <v>118.2</v>
      </c>
      <c r="Z29" s="1"/>
      <c r="AA29" s="9" t="s">
        <v>5</v>
      </c>
      <c r="AB29" s="12">
        <f t="shared" si="10"/>
        <v>303.35294117647061</v>
      </c>
      <c r="AC29" s="12">
        <f t="shared" si="11"/>
        <v>299.28104575163394</v>
      </c>
      <c r="AD29" s="13">
        <f t="shared" si="12"/>
        <v>301.3169934640523</v>
      </c>
    </row>
  </sheetData>
  <mergeCells count="11">
    <mergeCell ref="AF11:AG11"/>
    <mergeCell ref="C21:Z21"/>
    <mergeCell ref="AB21:AD21"/>
    <mergeCell ref="D23:H23"/>
    <mergeCell ref="L23:P23"/>
    <mergeCell ref="T23:X23"/>
    <mergeCell ref="C9:Z9"/>
    <mergeCell ref="AB9:AD9"/>
    <mergeCell ref="D11:H11"/>
    <mergeCell ref="L11:P11"/>
    <mergeCell ref="T11:X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Guardia</dc:creator>
  <cp:lastModifiedBy>Gabriel Guardia</cp:lastModifiedBy>
  <dcterms:created xsi:type="dcterms:W3CDTF">2025-08-06T22:11:54Z</dcterms:created>
  <dcterms:modified xsi:type="dcterms:W3CDTF">2026-02-12T00:07:26Z</dcterms:modified>
</cp:coreProperties>
</file>