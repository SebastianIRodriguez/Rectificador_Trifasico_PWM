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Hoj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<sst xmlns="http://schemas.openxmlformats.org/spreadsheetml/2006/main" count="180" uniqueCount="105">
  <si>
    <t xml:space="preserve">bornera de continua comparte neutro con borne negativo</t>
  </si>
  <si>
    <t xml:space="preserve">Nombre</t>
  </si>
  <si>
    <t xml:space="preserve">GPIO</t>
  </si>
  <si>
    <t xml:space="preserve">Pin</t>
  </si>
  <si>
    <t xml:space="preserve">Borne X1</t>
  </si>
  <si>
    <t xml:space="preserve">Nombre en placa</t>
  </si>
  <si>
    <t xml:space="preserve">Descripcion</t>
  </si>
  <si>
    <t xml:space="preserve">Medicion</t>
  </si>
  <si>
    <t xml:space="preserve">ADC</t>
  </si>
  <si>
    <t xml:space="preserve">CAC1</t>
  </si>
  <si>
    <t xml:space="preserve">ISO-GPI3</t>
  </si>
  <si>
    <t xml:space="preserve">Estado contactor AC</t>
  </si>
  <si>
    <t xml:space="preserve">U-V</t>
  </si>
  <si>
    <t xml:space="preserve">B0</t>
  </si>
  <si>
    <t xml:space="preserve">CDC1</t>
  </si>
  <si>
    <t xml:space="preserve">CONV1-OUT1</t>
  </si>
  <si>
    <t xml:space="preserve">Estado coctactor DC</t>
  </si>
  <si>
    <t xml:space="preserve">V-V</t>
  </si>
  <si>
    <t xml:space="preserve">B1</t>
  </si>
  <si>
    <t xml:space="preserve">QAC1</t>
  </si>
  <si>
    <t xml:space="preserve">ISO-GPI2</t>
  </si>
  <si>
    <t xml:space="preserve">Estado termica AC</t>
  </si>
  <si>
    <t xml:space="preserve">W-V</t>
  </si>
  <si>
    <t xml:space="preserve">B2</t>
  </si>
  <si>
    <t xml:space="preserve">QDC1</t>
  </si>
  <si>
    <t xml:space="preserve">ISO-GPI1</t>
  </si>
  <si>
    <t xml:space="preserve">Estado termica DC</t>
  </si>
  <si>
    <t xml:space="preserve">BUS-V</t>
  </si>
  <si>
    <t xml:space="preserve">B3</t>
  </si>
  <si>
    <t xml:space="preserve">KIN1</t>
  </si>
  <si>
    <t xml:space="preserve">ISO-GPO3</t>
  </si>
  <si>
    <t xml:space="preserve">Activo Contactor AC</t>
  </si>
  <si>
    <t xml:space="preserve">R-V</t>
  </si>
  <si>
    <t xml:space="preserve">B4</t>
  </si>
  <si>
    <t xml:space="preserve">KIN2</t>
  </si>
  <si>
    <t xml:space="preserve">ISO-GPO2</t>
  </si>
  <si>
    <t xml:space="preserve">Activo Contactor DC</t>
  </si>
  <si>
    <t xml:space="preserve">S-V</t>
  </si>
  <si>
    <t xml:space="preserve">B5</t>
  </si>
  <si>
    <t xml:space="preserve">KIN3</t>
  </si>
  <si>
    <t xml:space="preserve">ISO-GPO1</t>
  </si>
  <si>
    <t xml:space="preserve">PS IPM</t>
  </si>
  <si>
    <t xml:space="preserve">T-V</t>
  </si>
  <si>
    <t xml:space="preserve">B6</t>
  </si>
  <si>
    <t xml:space="preserve">KIN4</t>
  </si>
  <si>
    <t xml:space="preserve">PWM2T-H</t>
  </si>
  <si>
    <t xml:space="preserve">Activo Rele AC y DC</t>
  </si>
  <si>
    <t xml:space="preserve">B7</t>
  </si>
  <si>
    <t xml:space="preserve">Y-V</t>
  </si>
  <si>
    <t xml:space="preserve">B8</t>
  </si>
  <si>
    <t xml:space="preserve">Z-V</t>
  </si>
  <si>
    <t xml:space="preserve">B9</t>
  </si>
  <si>
    <t xml:space="preserve">MODULO DE RELES</t>
  </si>
  <si>
    <t xml:space="preserve">ACTIVO</t>
  </si>
  <si>
    <t xml:space="preserve">KAC1</t>
  </si>
  <si>
    <t xml:space="preserve">KDC1</t>
  </si>
  <si>
    <t xml:space="preserve">KIPM1</t>
  </si>
  <si>
    <t xml:space="preserve">Pruebas</t>
  </si>
  <si>
    <t xml:space="preserve">subir pruebas de gpio</t>
  </si>
  <si>
    <t xml:space="preserve">80V</t>
  </si>
  <si>
    <t xml:space="preserve">rst</t>
  </si>
  <si>
    <t xml:space="preserve">76V</t>
  </si>
  <si>
    <t xml:space="preserve">133V</t>
  </si>
  <si>
    <t xml:space="preserve">uvw</t>
  </si>
  <si>
    <t xml:space="preserve">mediciones</t>
  </si>
  <si>
    <t xml:space="preserve">bus1</t>
  </si>
  <si>
    <t xml:space="preserve">bus2</t>
  </si>
  <si>
    <t xml:space="preserve">Corriente</t>
  </si>
  <si>
    <t xml:space="preserve">Cuentas</t>
  </si>
  <si>
    <t xml:space="preserve">A</t>
  </si>
  <si>
    <t xml:space="preserve">Tension</t>
  </si>
  <si>
    <t xml:space="preserve">V</t>
  </si>
  <si>
    <t xml:space="preserve">r</t>
  </si>
  <si>
    <t xml:space="preserve">s</t>
  </si>
  <si>
    <t xml:space="preserve">t</t>
  </si>
  <si>
    <t xml:space="preserve">bus</t>
  </si>
  <si>
    <t xml:space="preserve">u</t>
  </si>
  <si>
    <t xml:space="preserve">v</t>
  </si>
  <si>
    <t xml:space="preserve">w</t>
  </si>
  <si>
    <t xml:space="preserve">dY</t>
  </si>
  <si>
    <t xml:space="preserve">dZ</t>
  </si>
  <si>
    <t xml:space="preserve">6,8A</t>
  </si>
  <si>
    <t xml:space="preserve">U</t>
  </si>
  <si>
    <t xml:space="preserve">W</t>
  </si>
  <si>
    <t xml:space="preserve">Y</t>
  </si>
  <si>
    <t xml:space="preserve">k1</t>
  </si>
  <si>
    <t xml:space="preserve">Z</t>
  </si>
  <si>
    <t xml:space="preserve">k2</t>
  </si>
  <si>
    <t xml:space="preserve">Max</t>
  </si>
  <si>
    <t xml:space="preserve">Tensión (V)</t>
  </si>
  <si>
    <t xml:space="preserve">k</t>
  </si>
  <si>
    <t xml:space="preserve">Yv</t>
  </si>
  <si>
    <t xml:space="preserve">Resultado de calibración de corriente (Corriente entra por el +)</t>
  </si>
  <si>
    <t xml:space="preserve">0A</t>
  </si>
  <si>
    <t xml:space="preserve">Ri</t>
  </si>
  <si>
    <t xml:space="preserve">Si</t>
  </si>
  <si>
    <t xml:space="preserve">Ti</t>
  </si>
  <si>
    <t xml:space="preserve">Ui</t>
  </si>
  <si>
    <t xml:space="preserve">Vi</t>
  </si>
  <si>
    <t xml:space="preserve">Wi</t>
  </si>
  <si>
    <t xml:space="preserve">k prom</t>
  </si>
  <si>
    <t xml:space="preserve">1A</t>
  </si>
  <si>
    <t xml:space="preserve">2A</t>
  </si>
  <si>
    <t xml:space="preserve">3A</t>
  </si>
  <si>
    <t xml:space="preserve">Resultado de calibración de corriente (Corriente entra por el -)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</si>
</sst>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 %"/>
    <numFmt numFmtId="166" formatCode="0.00000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B4C7DC"/>
        <bgColor rgb="FFCCCCCC"/>
      </patternFill>
    </fill>
    <fill>
      <patternFill patternType="solid">
        <fgColor rgb="FFCCCCCC"/>
        <bgColor rgb="FFB4C7D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6914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11.86"/>
    <col collapsed="false" customWidth="true" hidden="false" outlineLevel="0" max="4" min="4" style="0" width="12.86"/>
    <col collapsed="false" customWidth="true" hidden="false" outlineLevel="0" max="5" min="5" style="0" width="27.43"/>
    <col collapsed="false" customWidth="true" hidden="false" outlineLevel="0" max="6" min="6" style="0" width="20.99"/>
    <col collapsed="false" customWidth="true" hidden="false" outlineLevel="0" max="10" min="10" style="0" width="22.86"/>
    <col collapsed="false" customWidth="true" hidden="false" outlineLevel="0" max="11" min="11" style="0" width="12.57"/>
    <col collapsed="false" customWidth="true" hidden="false" outlineLevel="0" max="12" min="12" style="0" width="8.86"/>
  </cols>
  <sheetData>
    <row r="1" customFormat="false" ht="15" hidden="false" customHeight="false" outlineLevel="0" collapsed="false">
      <c r="B1" s="0" t="s">
        <v>0</v>
      </c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J3" s="2" t="s">
        <v>7</v>
      </c>
      <c r="K3" s="2" t="s">
        <v>8</v>
      </c>
      <c r="L3" s="2" t="s">
        <v>3</v>
      </c>
    </row>
    <row r="4" customFormat="false" ht="15" hidden="false" customHeight="false" outlineLevel="0" collapsed="false">
      <c r="A4" s="3" t="s">
        <v>9</v>
      </c>
      <c r="B4" s="3" t="n">
        <v>22</v>
      </c>
      <c r="C4" s="3" t="n">
        <v>41</v>
      </c>
      <c r="D4" s="3" t="n">
        <v>7</v>
      </c>
      <c r="E4" s="3" t="s">
        <v>10</v>
      </c>
      <c r="F4" s="3" t="s">
        <v>11</v>
      </c>
      <c r="J4" s="0" t="s">
        <v>12</v>
      </c>
      <c r="K4" s="0" t="s">
        <v>13</v>
      </c>
      <c r="L4" s="0" t="n">
        <v>7</v>
      </c>
    </row>
    <row r="5" customFormat="false" ht="15" hidden="false" customHeight="false" outlineLevel="0" collapsed="false">
      <c r="A5" s="3" t="s">
        <v>14</v>
      </c>
      <c r="B5" s="3" t="n">
        <v>84</v>
      </c>
      <c r="C5" s="3" t="n">
        <v>31</v>
      </c>
      <c r="D5" s="3" t="n">
        <v>29</v>
      </c>
      <c r="E5" s="3" t="s">
        <v>15</v>
      </c>
      <c r="F5" s="3" t="s">
        <v>16</v>
      </c>
      <c r="J5" s="0" t="s">
        <v>17</v>
      </c>
      <c r="K5" s="0" t="s">
        <v>18</v>
      </c>
      <c r="L5" s="0" t="n">
        <v>9</v>
      </c>
    </row>
    <row r="6" customFormat="false" ht="15" hidden="false" customHeight="false" outlineLevel="0" collapsed="false">
      <c r="A6" s="3" t="s">
        <v>19</v>
      </c>
      <c r="B6" s="3" t="n">
        <v>16</v>
      </c>
      <c r="C6" s="3" t="n">
        <v>39</v>
      </c>
      <c r="D6" s="3" t="n">
        <v>8</v>
      </c>
      <c r="E6" s="3" t="s">
        <v>20</v>
      </c>
      <c r="F6" s="3" t="s">
        <v>21</v>
      </c>
      <c r="J6" s="0" t="s">
        <v>22</v>
      </c>
      <c r="K6" s="0" t="s">
        <v>23</v>
      </c>
      <c r="L6" s="0" t="n">
        <v>11</v>
      </c>
    </row>
    <row r="7" customFormat="false" ht="15" hidden="false" customHeight="false" outlineLevel="0" collapsed="false">
      <c r="A7" s="3" t="s">
        <v>24</v>
      </c>
      <c r="B7" s="3" t="n">
        <v>18</v>
      </c>
      <c r="C7" s="3" t="n">
        <v>38</v>
      </c>
      <c r="D7" s="3" t="n">
        <v>9</v>
      </c>
      <c r="E7" s="3" t="s">
        <v>25</v>
      </c>
      <c r="F7" s="3" t="s">
        <v>26</v>
      </c>
      <c r="J7" s="0" t="s">
        <v>27</v>
      </c>
      <c r="K7" s="0" t="s">
        <v>28</v>
      </c>
      <c r="L7" s="0" t="n">
        <v>13</v>
      </c>
    </row>
    <row r="8" customFormat="false" ht="15" hidden="false" customHeight="false" outlineLevel="0" collapsed="false">
      <c r="A8" s="3" t="s">
        <v>29</v>
      </c>
      <c r="B8" s="3" t="n">
        <v>34</v>
      </c>
      <c r="C8" s="3" t="n">
        <v>42</v>
      </c>
      <c r="D8" s="3" t="n">
        <v>4</v>
      </c>
      <c r="E8" s="3" t="s">
        <v>30</v>
      </c>
      <c r="F8" s="3" t="s">
        <v>31</v>
      </c>
      <c r="J8" s="0" t="s">
        <v>32</v>
      </c>
      <c r="K8" s="0" t="s">
        <v>33</v>
      </c>
      <c r="L8" s="0" t="n">
        <v>19</v>
      </c>
    </row>
    <row r="9" customFormat="false" ht="15" hidden="false" customHeight="false" outlineLevel="0" collapsed="false">
      <c r="A9" s="3" t="s">
        <v>34</v>
      </c>
      <c r="B9" s="3" t="n">
        <v>32</v>
      </c>
      <c r="C9" s="3" t="n">
        <v>45</v>
      </c>
      <c r="D9" s="3" t="n">
        <v>5</v>
      </c>
      <c r="E9" s="3" t="s">
        <v>35</v>
      </c>
      <c r="F9" s="3" t="s">
        <v>36</v>
      </c>
      <c r="J9" s="0" t="s">
        <v>37</v>
      </c>
      <c r="K9" s="0" t="s">
        <v>38</v>
      </c>
      <c r="L9" s="0" t="n">
        <v>21</v>
      </c>
    </row>
    <row r="10" customFormat="false" ht="15" hidden="false" customHeight="false" outlineLevel="0" collapsed="false">
      <c r="A10" s="3" t="s">
        <v>39</v>
      </c>
      <c r="B10" s="3" t="n">
        <v>87</v>
      </c>
      <c r="C10" s="3" t="n">
        <v>46</v>
      </c>
      <c r="D10" s="3" t="n">
        <v>6</v>
      </c>
      <c r="E10" s="3" t="s">
        <v>40</v>
      </c>
      <c r="F10" s="3" t="s">
        <v>41</v>
      </c>
      <c r="J10" s="0" t="s">
        <v>42</v>
      </c>
      <c r="K10" s="0" t="s">
        <v>43</v>
      </c>
      <c r="L10" s="0" t="n">
        <v>71</v>
      </c>
    </row>
    <row r="11" customFormat="false" ht="15" hidden="false" customHeight="false" outlineLevel="0" collapsed="false">
      <c r="A11" s="3" t="s">
        <v>44</v>
      </c>
      <c r="B11" s="3" t="n">
        <v>10</v>
      </c>
      <c r="C11" s="3" t="n">
        <v>29</v>
      </c>
      <c r="D11" s="3" t="n">
        <v>12</v>
      </c>
      <c r="E11" s="3" t="s">
        <v>45</v>
      </c>
      <c r="F11" s="3" t="s">
        <v>46</v>
      </c>
      <c r="J11" s="0" t="s">
        <v>27</v>
      </c>
      <c r="K11" s="0" t="s">
        <v>47</v>
      </c>
      <c r="L11" s="0" t="n">
        <v>69</v>
      </c>
    </row>
    <row r="12" customFormat="false" ht="15" hidden="false" customHeight="false" outlineLevel="0" collapsed="false">
      <c r="J12" s="0" t="s">
        <v>48</v>
      </c>
      <c r="K12" s="0" t="s">
        <v>49</v>
      </c>
      <c r="L12" s="0" t="n">
        <v>15</v>
      </c>
    </row>
    <row r="13" customFormat="false" ht="15" hidden="false" customHeight="false" outlineLevel="0" collapsed="false">
      <c r="J13" s="0" t="s">
        <v>50</v>
      </c>
      <c r="K13" s="0" t="s">
        <v>51</v>
      </c>
      <c r="L13" s="0" t="n">
        <v>17</v>
      </c>
    </row>
    <row r="20" customFormat="false" ht="15" hidden="false" customHeight="false" outlineLevel="0" collapsed="false">
      <c r="B20" s="1" t="s">
        <v>52</v>
      </c>
      <c r="C20" s="1" t="s">
        <v>53</v>
      </c>
    </row>
    <row r="21" customFormat="false" ht="15" hidden="false" customHeight="false" outlineLevel="0" collapsed="false">
      <c r="B21" s="3" t="s">
        <v>29</v>
      </c>
      <c r="C21" s="3" t="s">
        <v>9</v>
      </c>
    </row>
    <row r="22" customFormat="false" ht="15" hidden="false" customHeight="false" outlineLevel="0" collapsed="false">
      <c r="B22" s="3" t="s">
        <v>34</v>
      </c>
      <c r="C22" s="3" t="s">
        <v>14</v>
      </c>
    </row>
    <row r="23" customFormat="false" ht="15" hidden="false" customHeight="false" outlineLevel="0" collapsed="false">
      <c r="B23" s="3" t="s">
        <v>44</v>
      </c>
      <c r="C23" s="3" t="s">
        <v>54</v>
      </c>
    </row>
    <row r="24" customFormat="false" ht="15" hidden="false" customHeight="false" outlineLevel="0" collapsed="false">
      <c r="B24" s="3" t="s">
        <v>44</v>
      </c>
      <c r="C24" s="3" t="s">
        <v>55</v>
      </c>
    </row>
    <row r="25" customFormat="false" ht="15" hidden="false" customHeight="false" outlineLevel="0" collapsed="false">
      <c r="B25" s="3" t="s">
        <v>39</v>
      </c>
      <c r="C25" s="3" t="s">
        <v>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29"/>
  <sheetViews>
    <sheetView showFormulas="false" showGridLines="true" showRowColHeaders="true" showZeros="true" rightToLeft="false" tabSelected="true" showOutlineSymbols="true" defaultGridColor="true" view="normal" topLeftCell="A65" colorId="64" zoomScale="100" zoomScaleNormal="100" zoomScalePageLayoutView="100" workbookViewId="0">
      <selection pane="topLeft" activeCell="J81" activeCellId="0" sqref="J81"/>
    </sheetView>
  </sheetViews>
  <sheetFormatPr defaultColWidth="10.69140625" defaultRowHeight="15" zeroHeight="false" outlineLevelRow="0" outlineLevelCol="0"/>
  <cols>
    <col collapsed="false" customWidth="true" hidden="false" outlineLevel="0" max="10" min="10" style="0" width="16.24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0" t="s">
        <v>57</v>
      </c>
    </row>
    <row r="3" customFormat="false" ht="15.75" hidden="false" customHeight="false" outlineLevel="0" collapsed="false">
      <c r="A3" s="0" t="s">
        <v>58</v>
      </c>
      <c r="J3" s="4" t="n">
        <v>1</v>
      </c>
      <c r="K3" s="5" t="s">
        <v>59</v>
      </c>
      <c r="L3" s="5" t="s">
        <v>60</v>
      </c>
      <c r="M3" s="6" t="n">
        <v>0.95</v>
      </c>
      <c r="N3" s="0" t="s">
        <v>61</v>
      </c>
      <c r="O3" s="6" t="n">
        <v>0.5</v>
      </c>
      <c r="P3" s="0" t="n">
        <v>40</v>
      </c>
    </row>
    <row r="4" customFormat="false" ht="15.75" hidden="false" customHeight="false" outlineLevel="0" collapsed="false">
      <c r="J4" s="7" t="n">
        <v>1</v>
      </c>
      <c r="K4" s="8" t="s">
        <v>62</v>
      </c>
      <c r="L4" s="8" t="s">
        <v>63</v>
      </c>
      <c r="M4" s="6" t="n">
        <v>0.5</v>
      </c>
      <c r="N4" s="0" t="n">
        <v>66</v>
      </c>
      <c r="O4" s="6" t="n">
        <v>0.95</v>
      </c>
      <c r="P4" s="0" t="n">
        <v>126</v>
      </c>
    </row>
    <row r="5" customFormat="false" ht="15.75" hidden="false" customHeight="false" outlineLevel="0" collapsed="false">
      <c r="A5" s="0" t="s">
        <v>64</v>
      </c>
      <c r="J5" s="7" t="n">
        <v>1</v>
      </c>
      <c r="K5" s="8" t="n">
        <v>161</v>
      </c>
      <c r="L5" s="8" t="s">
        <v>65</v>
      </c>
      <c r="M5" s="6" t="n">
        <v>0.95</v>
      </c>
      <c r="N5" s="0" t="n">
        <v>152</v>
      </c>
      <c r="O5" s="6" t="n">
        <v>0.5</v>
      </c>
      <c r="P5" s="0" t="n">
        <v>80</v>
      </c>
    </row>
    <row r="6" customFormat="false" ht="15.75" hidden="false" customHeight="false" outlineLevel="0" collapsed="false">
      <c r="J6" s="7" t="n">
        <v>1</v>
      </c>
      <c r="K6" s="8" t="n">
        <v>268</v>
      </c>
      <c r="L6" s="8" t="s">
        <v>66</v>
      </c>
      <c r="M6" s="6" t="n">
        <v>0.95</v>
      </c>
      <c r="N6" s="0" t="n">
        <v>255</v>
      </c>
      <c r="O6" s="6" t="n">
        <v>0.5</v>
      </c>
      <c r="P6" s="0" t="n">
        <v>134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s">
        <v>69</v>
      </c>
      <c r="F7" s="0" t="s">
        <v>70</v>
      </c>
      <c r="G7" s="0" t="s">
        <v>68</v>
      </c>
      <c r="H7" s="0" t="s">
        <v>71</v>
      </c>
      <c r="L7" s="9" t="n">
        <v>0</v>
      </c>
      <c r="M7" s="9"/>
      <c r="N7" s="9"/>
      <c r="O7" s="9"/>
      <c r="P7" s="9"/>
      <c r="Q7" s="10" t="n">
        <v>0.5</v>
      </c>
      <c r="R7" s="10"/>
      <c r="S7" s="10"/>
      <c r="T7" s="10"/>
      <c r="U7" s="10"/>
      <c r="V7" s="10"/>
      <c r="W7" s="10" t="n">
        <v>0.95</v>
      </c>
      <c r="X7" s="10"/>
      <c r="Y7" s="10"/>
      <c r="Z7" s="10"/>
      <c r="AA7" s="10"/>
      <c r="AB7" s="10"/>
      <c r="AC7" s="10" t="n">
        <v>-0.5</v>
      </c>
      <c r="AD7" s="10"/>
      <c r="AE7" s="10"/>
      <c r="AF7" s="10"/>
      <c r="AG7" s="10"/>
      <c r="AH7" s="10" t="n">
        <v>-0.95</v>
      </c>
      <c r="AI7" s="10"/>
      <c r="AJ7" s="10"/>
      <c r="AK7" s="10"/>
      <c r="AL7" s="10"/>
    </row>
    <row r="8" customFormat="false" ht="15" hidden="false" customHeight="false" outlineLevel="0" collapsed="false">
      <c r="F8" s="0" t="s">
        <v>72</v>
      </c>
      <c r="G8" s="0" t="n">
        <v>3583</v>
      </c>
      <c r="H8" s="0" t="n">
        <v>60</v>
      </c>
      <c r="K8" s="0" t="s">
        <v>72</v>
      </c>
      <c r="L8" s="0" t="n">
        <v>2044</v>
      </c>
      <c r="M8" s="0" t="n">
        <v>2056</v>
      </c>
      <c r="N8" s="0" t="n">
        <v>2052</v>
      </c>
      <c r="O8" s="0" t="n">
        <v>2049</v>
      </c>
      <c r="P8" s="0" t="n">
        <v>2053</v>
      </c>
      <c r="Q8" s="11" t="n">
        <v>3072</v>
      </c>
      <c r="R8" s="0" t="n">
        <v>3067</v>
      </c>
      <c r="S8" s="0" t="n">
        <v>3068</v>
      </c>
      <c r="T8" s="0" t="n">
        <v>3064</v>
      </c>
      <c r="U8" s="0" t="n">
        <v>3067</v>
      </c>
      <c r="V8" s="0" t="n">
        <v>3066</v>
      </c>
      <c r="W8" s="11" t="n">
        <v>3994</v>
      </c>
      <c r="X8" s="0" t="n">
        <v>3985</v>
      </c>
      <c r="Y8" s="0" t="n">
        <v>3983</v>
      </c>
      <c r="Z8" s="0" t="n">
        <v>3981</v>
      </c>
      <c r="AA8" s="0" t="n">
        <v>3985</v>
      </c>
      <c r="AB8" s="0" t="n">
        <v>3987</v>
      </c>
      <c r="AC8" s="0" t="n">
        <v>1032</v>
      </c>
      <c r="AD8" s="0" t="n">
        <v>1031</v>
      </c>
      <c r="AE8" s="0" t="n">
        <v>1029</v>
      </c>
      <c r="AF8" s="0" t="n">
        <v>1029</v>
      </c>
      <c r="AG8" s="0" t="n">
        <v>1032</v>
      </c>
      <c r="AH8" s="0" t="n">
        <v>119</v>
      </c>
      <c r="AI8" s="0" t="n">
        <v>115</v>
      </c>
      <c r="AJ8" s="0" t="n">
        <v>119</v>
      </c>
      <c r="AK8" s="0" t="n">
        <v>120</v>
      </c>
      <c r="AL8" s="0" t="n">
        <v>120</v>
      </c>
    </row>
    <row r="9" customFormat="false" ht="15" hidden="false" customHeight="false" outlineLevel="0" collapsed="false">
      <c r="A9" s="0" t="s">
        <v>72</v>
      </c>
      <c r="B9" s="0" t="n">
        <v>2355</v>
      </c>
      <c r="C9" s="0" t="n">
        <v>1</v>
      </c>
      <c r="G9" s="0" t="n">
        <v>2814</v>
      </c>
      <c r="H9" s="0" t="n">
        <v>30</v>
      </c>
      <c r="K9" s="0" t="s">
        <v>73</v>
      </c>
      <c r="L9" s="0" t="n">
        <v>2059</v>
      </c>
      <c r="M9" s="0" t="n">
        <v>2060</v>
      </c>
      <c r="N9" s="0" t="n">
        <v>2055</v>
      </c>
      <c r="O9" s="0" t="n">
        <v>2055</v>
      </c>
      <c r="P9" s="0" t="n">
        <v>2060</v>
      </c>
      <c r="Q9" s="11" t="n">
        <v>3080</v>
      </c>
      <c r="R9" s="0" t="n">
        <v>3073</v>
      </c>
      <c r="S9" s="0" t="n">
        <v>3080</v>
      </c>
      <c r="T9" s="0" t="n">
        <v>3078</v>
      </c>
      <c r="U9" s="0" t="n">
        <v>3077</v>
      </c>
      <c r="V9" s="0" t="n">
        <v>3077</v>
      </c>
      <c r="W9" s="11" t="n">
        <v>4002</v>
      </c>
      <c r="X9" s="0" t="n">
        <v>3997</v>
      </c>
      <c r="Y9" s="0" t="n">
        <v>3997</v>
      </c>
      <c r="Z9" s="0" t="n">
        <v>3993</v>
      </c>
      <c r="AA9" s="0" t="n">
        <v>3997</v>
      </c>
      <c r="AB9" s="0" t="n">
        <v>4005</v>
      </c>
      <c r="AC9" s="0" t="n">
        <v>1023</v>
      </c>
      <c r="AD9" s="0" t="n">
        <v>1034</v>
      </c>
      <c r="AE9" s="0" t="n">
        <v>1036</v>
      </c>
      <c r="AF9" s="0" t="n">
        <v>1035</v>
      </c>
      <c r="AG9" s="0" t="n">
        <v>1036</v>
      </c>
      <c r="AH9" s="0" t="n">
        <v>120</v>
      </c>
      <c r="AI9" s="0" t="n">
        <v>111</v>
      </c>
      <c r="AJ9" s="0" t="n">
        <v>117</v>
      </c>
      <c r="AK9" s="0" t="n">
        <v>117</v>
      </c>
      <c r="AL9" s="0" t="n">
        <v>115</v>
      </c>
    </row>
    <row r="10" customFormat="false" ht="15" hidden="false" customHeight="false" outlineLevel="0" collapsed="false">
      <c r="B10" s="0" t="n">
        <v>2658</v>
      </c>
      <c r="C10" s="0" t="n">
        <v>2</v>
      </c>
      <c r="K10" s="0" t="s">
        <v>74</v>
      </c>
      <c r="L10" s="0" t="n">
        <v>2058</v>
      </c>
      <c r="M10" s="0" t="n">
        <v>2054</v>
      </c>
      <c r="N10" s="0" t="n">
        <v>2050</v>
      </c>
      <c r="O10" s="0" t="n">
        <v>2056</v>
      </c>
      <c r="P10" s="0" t="n">
        <v>2048</v>
      </c>
      <c r="Q10" s="11" t="n">
        <v>3092</v>
      </c>
      <c r="R10" s="0" t="n">
        <v>3083</v>
      </c>
      <c r="S10" s="0" t="n">
        <v>3082</v>
      </c>
      <c r="T10" s="0" t="n">
        <v>3082</v>
      </c>
      <c r="U10" s="0" t="n">
        <v>3082</v>
      </c>
      <c r="V10" s="0" t="n">
        <v>3088</v>
      </c>
      <c r="W10" s="11" t="n">
        <v>4028</v>
      </c>
      <c r="X10" s="0" t="n">
        <v>4006</v>
      </c>
      <c r="Y10" s="0" t="n">
        <v>4004</v>
      </c>
      <c r="Z10" s="0" t="n">
        <v>4008</v>
      </c>
      <c r="AA10" s="0" t="n">
        <v>4005</v>
      </c>
      <c r="AB10" s="0" t="n">
        <v>3994</v>
      </c>
      <c r="AC10" s="0" t="n">
        <v>1025</v>
      </c>
      <c r="AD10" s="0" t="n">
        <v>1026</v>
      </c>
      <c r="AE10" s="0" t="n">
        <v>1026</v>
      </c>
      <c r="AF10" s="0" t="n">
        <v>1025</v>
      </c>
      <c r="AG10" s="0" t="n">
        <v>1021</v>
      </c>
      <c r="AH10" s="0" t="n">
        <v>95</v>
      </c>
      <c r="AI10" s="0" t="n">
        <v>101</v>
      </c>
      <c r="AJ10" s="0" t="n">
        <v>99</v>
      </c>
      <c r="AK10" s="0" t="n">
        <v>98</v>
      </c>
      <c r="AL10" s="0" t="n">
        <v>97</v>
      </c>
    </row>
    <row r="11" customFormat="false" ht="15" hidden="false" customHeight="false" outlineLevel="0" collapsed="false">
      <c r="B11" s="0" t="n">
        <v>3550</v>
      </c>
      <c r="C11" s="0" t="n">
        <v>5</v>
      </c>
      <c r="K11" s="0" t="s">
        <v>75</v>
      </c>
      <c r="L11" s="0" t="n">
        <v>17</v>
      </c>
      <c r="M11" s="0" t="n">
        <v>13</v>
      </c>
      <c r="N11" s="0" t="n">
        <v>15</v>
      </c>
      <c r="O11" s="0" t="n">
        <v>15</v>
      </c>
      <c r="P11" s="0" t="n">
        <v>15</v>
      </c>
      <c r="Q11" s="11" t="n">
        <v>2031</v>
      </c>
      <c r="R11" s="0" t="n">
        <v>2035</v>
      </c>
      <c r="S11" s="0" t="n">
        <v>2037</v>
      </c>
      <c r="T11" s="0" t="n">
        <v>2037</v>
      </c>
      <c r="U11" s="0" t="n">
        <v>2038</v>
      </c>
      <c r="V11" s="0" t="n">
        <v>2037</v>
      </c>
      <c r="W11" s="11" t="n">
        <v>3883</v>
      </c>
      <c r="X11" s="0" t="n">
        <v>3883</v>
      </c>
      <c r="Y11" s="0" t="n">
        <v>3884</v>
      </c>
      <c r="Z11" s="0" t="n">
        <v>3882</v>
      </c>
      <c r="AA11" s="0" t="n">
        <v>3880</v>
      </c>
      <c r="AB11" s="0" t="n">
        <v>3886</v>
      </c>
    </row>
    <row r="12" customFormat="false" ht="15" hidden="false" customHeight="false" outlineLevel="0" collapsed="false">
      <c r="B12" s="0" t="n">
        <v>2812</v>
      </c>
      <c r="C12" s="0" t="n">
        <v>2.5</v>
      </c>
      <c r="G12" s="0" t="n">
        <v>1284</v>
      </c>
      <c r="H12" s="0" t="n">
        <v>-30</v>
      </c>
      <c r="K12" s="0" t="s">
        <v>76</v>
      </c>
      <c r="L12" s="0" t="n">
        <v>2059</v>
      </c>
      <c r="M12" s="0" t="n">
        <v>2059</v>
      </c>
      <c r="N12" s="0" t="n">
        <v>2060</v>
      </c>
      <c r="O12" s="0" t="n">
        <v>2059</v>
      </c>
      <c r="P12" s="0" t="n">
        <v>2059</v>
      </c>
      <c r="Q12" s="11" t="n">
        <v>3068</v>
      </c>
      <c r="R12" s="0" t="n">
        <v>3070</v>
      </c>
      <c r="S12" s="0" t="n">
        <v>3068</v>
      </c>
      <c r="T12" s="0" t="n">
        <v>3069</v>
      </c>
      <c r="U12" s="0" t="n">
        <v>3067</v>
      </c>
      <c r="V12" s="0" t="n">
        <v>3068</v>
      </c>
      <c r="W12" s="11" t="n">
        <v>3985</v>
      </c>
      <c r="X12" s="0" t="n">
        <v>3986</v>
      </c>
      <c r="Y12" s="0" t="n">
        <v>3984</v>
      </c>
      <c r="Z12" s="0" t="n">
        <v>3984</v>
      </c>
      <c r="AA12" s="0" t="n">
        <v>3987</v>
      </c>
      <c r="AB12" s="0" t="n">
        <v>3987</v>
      </c>
      <c r="AC12" s="0" t="n">
        <v>1049</v>
      </c>
      <c r="AD12" s="0" t="n">
        <v>1047</v>
      </c>
      <c r="AE12" s="0" t="n">
        <v>1049</v>
      </c>
      <c r="AF12" s="0" t="n">
        <v>1051</v>
      </c>
      <c r="AG12" s="0" t="n">
        <v>1048</v>
      </c>
      <c r="AH12" s="0" t="n">
        <v>131</v>
      </c>
      <c r="AI12" s="0" t="n">
        <v>130</v>
      </c>
      <c r="AJ12" s="0" t="n">
        <v>129</v>
      </c>
      <c r="AK12" s="0" t="n">
        <v>132</v>
      </c>
      <c r="AL12" s="0" t="n">
        <v>131</v>
      </c>
    </row>
    <row r="13" customFormat="false" ht="15" hidden="false" customHeight="false" outlineLevel="0" collapsed="false">
      <c r="B13" s="0" t="n">
        <v>1749</v>
      </c>
      <c r="C13" s="0" t="n">
        <v>-1</v>
      </c>
      <c r="G13" s="0" t="n">
        <v>526</v>
      </c>
      <c r="H13" s="0" t="n">
        <v>-60</v>
      </c>
      <c r="K13" s="0" t="s">
        <v>77</v>
      </c>
      <c r="L13" s="0" t="n">
        <v>2065</v>
      </c>
      <c r="M13" s="0" t="n">
        <v>2069</v>
      </c>
      <c r="N13" s="0" t="n">
        <v>2069</v>
      </c>
      <c r="O13" s="0" t="n">
        <v>2067</v>
      </c>
      <c r="P13" s="0" t="n">
        <v>2069</v>
      </c>
      <c r="Q13" s="11" t="n">
        <v>3077</v>
      </c>
      <c r="R13" s="0" t="n">
        <v>3077</v>
      </c>
      <c r="S13" s="0" t="n">
        <v>3066</v>
      </c>
      <c r="T13" s="0" t="n">
        <v>3078</v>
      </c>
      <c r="U13" s="0" t="n">
        <v>3078</v>
      </c>
      <c r="V13" s="0" t="n">
        <v>6078</v>
      </c>
      <c r="W13" s="11" t="n">
        <v>3995</v>
      </c>
      <c r="X13" s="0" t="n">
        <v>3997</v>
      </c>
      <c r="Y13" s="0" t="n">
        <v>3996</v>
      </c>
      <c r="Z13" s="0" t="n">
        <v>3994</v>
      </c>
      <c r="AA13" s="0" t="n">
        <v>3997</v>
      </c>
      <c r="AB13" s="0" t="n">
        <v>3995</v>
      </c>
      <c r="AC13" s="0" t="n">
        <v>1056</v>
      </c>
      <c r="AD13" s="0" t="n">
        <v>1056</v>
      </c>
      <c r="AE13" s="0" t="n">
        <v>1055</v>
      </c>
      <c r="AF13" s="0" t="n">
        <v>1055</v>
      </c>
      <c r="AG13" s="0" t="n">
        <v>1056</v>
      </c>
      <c r="AH13" s="0" t="n">
        <v>138</v>
      </c>
      <c r="AI13" s="0" t="n">
        <v>138</v>
      </c>
      <c r="AJ13" s="0" t="n">
        <v>136</v>
      </c>
      <c r="AK13" s="0" t="n">
        <v>138</v>
      </c>
      <c r="AL13" s="0" t="n">
        <v>138</v>
      </c>
    </row>
    <row r="14" customFormat="false" ht="15" hidden="false" customHeight="false" outlineLevel="0" collapsed="false">
      <c r="B14" s="0" t="n">
        <v>1295</v>
      </c>
      <c r="C14" s="0" t="n">
        <v>-2.5</v>
      </c>
      <c r="F14" s="0" t="s">
        <v>73</v>
      </c>
      <c r="G14" s="0" t="n">
        <v>3596</v>
      </c>
      <c r="H14" s="0" t="n">
        <v>60</v>
      </c>
      <c r="K14" s="0" t="s">
        <v>78</v>
      </c>
      <c r="L14" s="0" t="n">
        <v>2062</v>
      </c>
      <c r="M14" s="0" t="n">
        <v>2062</v>
      </c>
      <c r="N14" s="0" t="n">
        <v>2062</v>
      </c>
      <c r="O14" s="0" t="n">
        <v>2063</v>
      </c>
      <c r="P14" s="0" t="n">
        <v>2061</v>
      </c>
      <c r="Q14" s="11" t="n">
        <v>3058</v>
      </c>
      <c r="R14" s="0" t="n">
        <v>3057</v>
      </c>
      <c r="S14" s="0" t="n">
        <v>3056</v>
      </c>
      <c r="T14" s="0" t="n">
        <v>3058</v>
      </c>
      <c r="U14" s="0" t="n">
        <v>3056</v>
      </c>
      <c r="V14" s="0" t="n">
        <v>3056</v>
      </c>
      <c r="W14" s="11" t="n">
        <v>3961</v>
      </c>
      <c r="X14" s="0" t="n">
        <v>3960</v>
      </c>
      <c r="Y14" s="0" t="n">
        <v>3962</v>
      </c>
      <c r="Z14" s="0" t="n">
        <v>3961</v>
      </c>
      <c r="AA14" s="0" t="n">
        <v>3963</v>
      </c>
      <c r="AB14" s="0" t="n">
        <v>3961</v>
      </c>
      <c r="AC14" s="0" t="n">
        <v>1066</v>
      </c>
      <c r="AD14" s="0" t="n">
        <v>1069</v>
      </c>
      <c r="AE14" s="0" t="n">
        <v>1067</v>
      </c>
      <c r="AF14" s="0" t="n">
        <v>1067</v>
      </c>
      <c r="AG14" s="0" t="n">
        <v>1067</v>
      </c>
      <c r="AH14" s="0" t="n">
        <v>163</v>
      </c>
      <c r="AI14" s="0" t="n">
        <v>162</v>
      </c>
      <c r="AJ14" s="0" t="n">
        <v>163</v>
      </c>
      <c r="AK14" s="0" t="n">
        <v>163</v>
      </c>
      <c r="AL14" s="0" t="n">
        <v>162</v>
      </c>
    </row>
    <row r="15" customFormat="false" ht="15" hidden="false" customHeight="false" outlineLevel="0" collapsed="false">
      <c r="B15" s="0" t="n">
        <v>534</v>
      </c>
      <c r="C15" s="0" t="n">
        <v>-5</v>
      </c>
      <c r="G15" s="0" t="n">
        <v>2826</v>
      </c>
      <c r="H15" s="0" t="n">
        <v>30</v>
      </c>
      <c r="K15" s="0" t="s">
        <v>66</v>
      </c>
      <c r="L15" s="0" t="n">
        <v>19</v>
      </c>
      <c r="M15" s="0" t="n">
        <v>20</v>
      </c>
      <c r="N15" s="0" t="n">
        <v>18</v>
      </c>
      <c r="O15" s="0" t="n">
        <v>19</v>
      </c>
      <c r="P15" s="0" t="n">
        <v>20</v>
      </c>
      <c r="Q15" s="11" t="n">
        <v>2052</v>
      </c>
      <c r="R15" s="0" t="n">
        <v>2052</v>
      </c>
      <c r="S15" s="0" t="n">
        <v>2051</v>
      </c>
      <c r="T15" s="0" t="n">
        <v>2049</v>
      </c>
      <c r="U15" s="0" t="n">
        <v>2051</v>
      </c>
      <c r="V15" s="0" t="n">
        <v>2051</v>
      </c>
      <c r="W15" s="11" t="n">
        <v>3897</v>
      </c>
      <c r="X15" s="0" t="n">
        <v>3898</v>
      </c>
      <c r="Y15" s="0" t="n">
        <v>3897</v>
      </c>
      <c r="Z15" s="0" t="n">
        <v>3896</v>
      </c>
      <c r="AA15" s="0" t="n">
        <v>3897</v>
      </c>
      <c r="AB15" s="0" t="n">
        <v>3897</v>
      </c>
    </row>
    <row r="16" customFormat="false" ht="15" hidden="false" customHeight="false" outlineLevel="0" collapsed="false">
      <c r="A16" s="0" t="s">
        <v>73</v>
      </c>
      <c r="B16" s="0" t="n">
        <v>2352</v>
      </c>
      <c r="C16" s="0" t="n">
        <v>1</v>
      </c>
      <c r="K16" s="0" t="s">
        <v>79</v>
      </c>
      <c r="L16" s="0" t="n">
        <v>2059</v>
      </c>
      <c r="M16" s="0" t="n">
        <v>2060</v>
      </c>
      <c r="N16" s="0" t="n">
        <v>2060</v>
      </c>
      <c r="O16" s="0" t="n">
        <v>2058</v>
      </c>
      <c r="P16" s="0" t="n">
        <v>2060</v>
      </c>
      <c r="Q16" s="11" t="n">
        <v>3079</v>
      </c>
      <c r="R16" s="0" t="n">
        <v>3077</v>
      </c>
      <c r="S16" s="0" t="n">
        <v>3079</v>
      </c>
      <c r="T16" s="0" t="n">
        <v>3080</v>
      </c>
      <c r="U16" s="0" t="n">
        <v>3080</v>
      </c>
      <c r="V16" s="0" t="n">
        <v>3080</v>
      </c>
      <c r="W16" s="11" t="n">
        <v>3998</v>
      </c>
      <c r="X16" s="0" t="n">
        <v>3998</v>
      </c>
      <c r="Y16" s="0" t="n">
        <v>3998</v>
      </c>
      <c r="Z16" s="0" t="n">
        <v>3998</v>
      </c>
      <c r="AA16" s="0" t="n">
        <v>3998</v>
      </c>
      <c r="AB16" s="0" t="n">
        <v>3998</v>
      </c>
      <c r="AC16" s="0" t="n">
        <v>1038</v>
      </c>
      <c r="AD16" s="0" t="n">
        <v>1039</v>
      </c>
      <c r="AE16" s="0" t="n">
        <v>1037</v>
      </c>
      <c r="AF16" s="0" t="n">
        <v>1039</v>
      </c>
      <c r="AG16" s="0" t="n">
        <v>1039</v>
      </c>
      <c r="AH16" s="0" t="n">
        <v>121</v>
      </c>
      <c r="AI16" s="0" t="n">
        <v>121</v>
      </c>
      <c r="AJ16" s="0" t="n">
        <v>121</v>
      </c>
      <c r="AK16" s="0" t="n">
        <v>120</v>
      </c>
      <c r="AL16" s="0" t="n">
        <v>120</v>
      </c>
    </row>
    <row r="17" customFormat="false" ht="15" hidden="false" customHeight="false" outlineLevel="0" collapsed="false">
      <c r="B17" s="0" t="n">
        <v>2804</v>
      </c>
      <c r="C17" s="0" t="n">
        <v>2.5</v>
      </c>
      <c r="K17" s="0" t="s">
        <v>80</v>
      </c>
      <c r="L17" s="0" t="n">
        <v>2056</v>
      </c>
      <c r="M17" s="0" t="n">
        <v>2056</v>
      </c>
      <c r="N17" s="0" t="n">
        <v>2056</v>
      </c>
      <c r="O17" s="0" t="n">
        <v>2056</v>
      </c>
      <c r="P17" s="0" t="n">
        <v>2055</v>
      </c>
      <c r="Q17" s="11" t="n">
        <v>3078</v>
      </c>
      <c r="R17" s="0" t="n">
        <v>3075</v>
      </c>
      <c r="S17" s="0" t="n">
        <v>3078</v>
      </c>
      <c r="T17" s="0" t="n">
        <v>3076</v>
      </c>
      <c r="U17" s="0" t="n">
        <v>3075</v>
      </c>
      <c r="V17" s="0" t="n">
        <v>3078</v>
      </c>
      <c r="W17" s="11" t="n">
        <v>3997</v>
      </c>
      <c r="X17" s="0" t="n">
        <v>3998</v>
      </c>
      <c r="Y17" s="0" t="n">
        <v>3998</v>
      </c>
      <c r="Z17" s="0" t="n">
        <v>3999</v>
      </c>
      <c r="AA17" s="0" t="n">
        <v>3998</v>
      </c>
      <c r="AB17" s="0" t="n">
        <v>3998</v>
      </c>
      <c r="AC17" s="0" t="n">
        <v>1032</v>
      </c>
      <c r="AD17" s="0" t="n">
        <v>1033</v>
      </c>
      <c r="AE17" s="0" t="n">
        <v>1031</v>
      </c>
      <c r="AF17" s="0" t="n">
        <v>1033</v>
      </c>
      <c r="AG17" s="0" t="n">
        <v>1031</v>
      </c>
      <c r="AH17" s="0" t="n">
        <v>114</v>
      </c>
      <c r="AI17" s="0" t="n">
        <v>112</v>
      </c>
      <c r="AJ17" s="0" t="n">
        <v>111</v>
      </c>
      <c r="AK17" s="0" t="n">
        <v>111</v>
      </c>
      <c r="AL17" s="0" t="n">
        <v>112</v>
      </c>
    </row>
    <row r="18" customFormat="false" ht="15" hidden="false" customHeight="false" outlineLevel="0" collapsed="false">
      <c r="B18" s="0" t="n">
        <v>3563</v>
      </c>
      <c r="C18" s="0" t="n">
        <v>5</v>
      </c>
      <c r="G18" s="0" t="n">
        <v>1288</v>
      </c>
      <c r="H18" s="0" t="n">
        <v>-30</v>
      </c>
    </row>
    <row r="19" customFormat="false" ht="15" hidden="false" customHeight="false" outlineLevel="0" collapsed="false">
      <c r="B19" s="0" t="n">
        <v>1749</v>
      </c>
      <c r="C19" s="0" t="n">
        <v>-1</v>
      </c>
      <c r="G19" s="0" t="n">
        <v>523</v>
      </c>
      <c r="H19" s="0" t="n">
        <v>-60</v>
      </c>
      <c r="J19" s="6" t="n">
        <v>1</v>
      </c>
      <c r="K19" s="0" t="s">
        <v>81</v>
      </c>
      <c r="L19" s="0" t="n">
        <v>95</v>
      </c>
      <c r="M19" s="0" t="n">
        <v>6.46</v>
      </c>
    </row>
    <row r="20" customFormat="false" ht="15" hidden="false" customHeight="false" outlineLevel="0" collapsed="false">
      <c r="B20" s="0" t="n">
        <v>1295</v>
      </c>
      <c r="C20" s="0" t="n">
        <v>-2.5</v>
      </c>
      <c r="F20" s="0" t="s">
        <v>74</v>
      </c>
      <c r="G20" s="0" t="n">
        <v>3612</v>
      </c>
      <c r="H20" s="0" t="n">
        <v>60</v>
      </c>
      <c r="J20" s="6" t="n">
        <v>0.5</v>
      </c>
      <c r="K20" s="0" t="n">
        <v>3.4</v>
      </c>
    </row>
    <row r="21" customFormat="false" ht="15" hidden="false" customHeight="false" outlineLevel="0" collapsed="false">
      <c r="B21" s="0" t="n">
        <v>542</v>
      </c>
      <c r="C21" s="0" t="n">
        <v>-5</v>
      </c>
      <c r="G21" s="0" t="n">
        <v>2833</v>
      </c>
      <c r="H21" s="0" t="n">
        <v>30</v>
      </c>
      <c r="L21" s="10" t="n">
        <v>0</v>
      </c>
      <c r="M21" s="10"/>
      <c r="N21" s="10"/>
      <c r="O21" s="10"/>
      <c r="P21" s="10"/>
      <c r="Q21" s="10" t="n">
        <v>0.5</v>
      </c>
      <c r="R21" s="10"/>
      <c r="S21" s="10"/>
      <c r="T21" s="10"/>
      <c r="U21" s="10"/>
      <c r="V21" s="10"/>
      <c r="W21" s="10" t="n">
        <v>0.95</v>
      </c>
      <c r="X21" s="10"/>
      <c r="Y21" s="10"/>
      <c r="Z21" s="10"/>
      <c r="AA21" s="10"/>
      <c r="AB21" s="10"/>
      <c r="AC21" s="10" t="n">
        <v>-0.5</v>
      </c>
      <c r="AD21" s="10"/>
      <c r="AE21" s="10"/>
      <c r="AF21" s="10"/>
      <c r="AG21" s="10"/>
      <c r="AH21" s="10" t="n">
        <v>-0.95</v>
      </c>
      <c r="AI21" s="10"/>
      <c r="AJ21" s="10"/>
      <c r="AK21" s="10"/>
      <c r="AL21" s="10"/>
    </row>
    <row r="22" customFormat="false" ht="15" hidden="false" customHeight="false" outlineLevel="0" collapsed="false">
      <c r="A22" s="0" t="s">
        <v>74</v>
      </c>
      <c r="B22" s="0" t="n">
        <v>2363</v>
      </c>
      <c r="C22" s="0" t="n">
        <v>1</v>
      </c>
      <c r="K22" s="0" t="s">
        <v>72</v>
      </c>
      <c r="L22" s="0" t="n">
        <v>2060</v>
      </c>
      <c r="M22" s="0" t="n">
        <v>2053</v>
      </c>
      <c r="N22" s="0" t="n">
        <v>2055</v>
      </c>
      <c r="O22" s="0" t="n">
        <v>2054</v>
      </c>
      <c r="P22" s="0" t="n">
        <v>2056</v>
      </c>
      <c r="Q22" s="0" t="n">
        <v>3086</v>
      </c>
      <c r="R22" s="0" t="n">
        <v>3073</v>
      </c>
      <c r="S22" s="0" t="n">
        <v>3073</v>
      </c>
      <c r="T22" s="0" t="n">
        <v>3084</v>
      </c>
      <c r="U22" s="0" t="n">
        <v>3077</v>
      </c>
      <c r="W22" s="0" t="n">
        <v>3995</v>
      </c>
      <c r="X22" s="0" t="n">
        <v>4006</v>
      </c>
      <c r="Y22" s="0" t="n">
        <v>4006</v>
      </c>
      <c r="Z22" s="0" t="n">
        <v>4000</v>
      </c>
      <c r="AA22" s="0" t="n">
        <v>4008</v>
      </c>
      <c r="AC22" s="0" t="n">
        <v>1025</v>
      </c>
      <c r="AD22" s="0" t="n">
        <v>1023</v>
      </c>
      <c r="AE22" s="0" t="n">
        <v>1028</v>
      </c>
      <c r="AF22" s="0" t="n">
        <v>1027</v>
      </c>
      <c r="AG22" s="0" t="n">
        <v>1031</v>
      </c>
      <c r="AH22" s="0" t="n">
        <v>101</v>
      </c>
      <c r="AI22" s="0" t="n">
        <v>97</v>
      </c>
      <c r="AJ22" s="0" t="n">
        <v>109</v>
      </c>
      <c r="AK22" s="0" t="n">
        <v>98</v>
      </c>
      <c r="AL22" s="0" t="n">
        <v>108</v>
      </c>
    </row>
    <row r="23" customFormat="false" ht="15" hidden="false" customHeight="false" outlineLevel="0" collapsed="false">
      <c r="B23" s="0" t="n">
        <v>2816</v>
      </c>
      <c r="C23" s="0" t="n">
        <v>2.5</v>
      </c>
      <c r="K23" s="0" t="s">
        <v>73</v>
      </c>
      <c r="L23" s="0" t="n">
        <v>2055</v>
      </c>
      <c r="M23" s="0" t="n">
        <v>2053</v>
      </c>
      <c r="N23" s="0" t="n">
        <v>2058</v>
      </c>
      <c r="O23" s="0" t="n">
        <v>2053</v>
      </c>
      <c r="P23" s="0" t="n">
        <v>2052</v>
      </c>
      <c r="Q23" s="0" t="n">
        <v>3074</v>
      </c>
      <c r="R23" s="0" t="n">
        <v>3068</v>
      </c>
      <c r="S23" s="0" t="n">
        <v>3066</v>
      </c>
      <c r="T23" s="0" t="n">
        <v>3079</v>
      </c>
      <c r="U23" s="0" t="n">
        <v>3072</v>
      </c>
      <c r="W23" s="0" t="n">
        <v>3989</v>
      </c>
      <c r="X23" s="0" t="n">
        <v>3990</v>
      </c>
      <c r="Y23" s="0" t="n">
        <v>3991</v>
      </c>
      <c r="Z23" s="0" t="n">
        <v>3993</v>
      </c>
      <c r="AA23" s="0" t="n">
        <v>3995</v>
      </c>
      <c r="AC23" s="0" t="n">
        <v>1028</v>
      </c>
      <c r="AD23" s="0" t="n">
        <v>1023</v>
      </c>
      <c r="AE23" s="0" t="n">
        <v>1030</v>
      </c>
      <c r="AF23" s="0" t="n">
        <v>1029</v>
      </c>
      <c r="AG23" s="0" t="n">
        <v>1034</v>
      </c>
      <c r="AH23" s="0" t="n">
        <v>104</v>
      </c>
      <c r="AI23" s="0" t="n">
        <v>104</v>
      </c>
      <c r="AJ23" s="0" t="n">
        <v>117</v>
      </c>
      <c r="AK23" s="0" t="n">
        <v>104</v>
      </c>
      <c r="AL23" s="0" t="n">
        <v>114</v>
      </c>
    </row>
    <row r="24" customFormat="false" ht="15" hidden="false" customHeight="false" outlineLevel="0" collapsed="false">
      <c r="B24" s="0" t="n">
        <v>3570</v>
      </c>
      <c r="C24" s="0" t="n">
        <v>5</v>
      </c>
      <c r="G24" s="0" t="n">
        <v>1281</v>
      </c>
      <c r="H24" s="0" t="n">
        <v>-30</v>
      </c>
      <c r="K24" s="0" t="s">
        <v>74</v>
      </c>
      <c r="L24" s="0" t="n">
        <v>2067</v>
      </c>
      <c r="M24" s="0" t="n">
        <v>2065</v>
      </c>
      <c r="N24" s="0" t="n">
        <v>2064</v>
      </c>
      <c r="O24" s="0" t="n">
        <v>2065</v>
      </c>
      <c r="P24" s="0" t="n">
        <v>2064</v>
      </c>
      <c r="Q24" s="0" t="n">
        <v>3086</v>
      </c>
      <c r="R24" s="0" t="n">
        <v>3076</v>
      </c>
      <c r="S24" s="0" t="n">
        <v>3076</v>
      </c>
      <c r="T24" s="0" t="n">
        <v>3090</v>
      </c>
      <c r="U24" s="0" t="n">
        <v>3081</v>
      </c>
      <c r="W24" s="0" t="n">
        <v>3994</v>
      </c>
      <c r="X24" s="0" t="n">
        <v>3999</v>
      </c>
      <c r="Y24" s="0" t="n">
        <v>4005</v>
      </c>
      <c r="Z24" s="0" t="n">
        <v>3997</v>
      </c>
      <c r="AA24" s="0" t="n">
        <v>4006</v>
      </c>
      <c r="AC24" s="0" t="n">
        <v>1041</v>
      </c>
      <c r="AD24" s="0" t="n">
        <v>1035</v>
      </c>
      <c r="AE24" s="0" t="n">
        <v>1039</v>
      </c>
      <c r="AF24" s="0" t="n">
        <v>1037</v>
      </c>
      <c r="AG24" s="0" t="n">
        <v>1039</v>
      </c>
      <c r="AH24" s="0" t="n">
        <v>117</v>
      </c>
      <c r="AI24" s="0" t="n">
        <v>114</v>
      </c>
      <c r="AJ24" s="0" t="n">
        <v>127</v>
      </c>
      <c r="AK24" s="0" t="n">
        <v>116</v>
      </c>
      <c r="AL24" s="0" t="n">
        <v>122</v>
      </c>
    </row>
    <row r="25" customFormat="false" ht="15" hidden="false" customHeight="false" outlineLevel="0" collapsed="false">
      <c r="B25" s="0" t="n">
        <v>1759</v>
      </c>
      <c r="C25" s="0" t="n">
        <v>-1</v>
      </c>
      <c r="G25" s="0" t="n">
        <v>509</v>
      </c>
      <c r="H25" s="0" t="n">
        <v>-60</v>
      </c>
      <c r="K25" s="0" t="s">
        <v>76</v>
      </c>
      <c r="L25" s="0" t="n">
        <v>2064</v>
      </c>
      <c r="M25" s="0" t="n">
        <v>2066</v>
      </c>
      <c r="N25" s="0" t="n">
        <v>2068</v>
      </c>
      <c r="O25" s="0" t="n">
        <v>2062</v>
      </c>
      <c r="P25" s="0" t="n">
        <v>2067</v>
      </c>
      <c r="Q25" s="0" t="n">
        <v>3093</v>
      </c>
      <c r="R25" s="0" t="n">
        <v>3084</v>
      </c>
      <c r="S25" s="0" t="n">
        <v>3080</v>
      </c>
      <c r="T25" s="0" t="n">
        <v>3092</v>
      </c>
      <c r="U25" s="0" t="n">
        <v>3092</v>
      </c>
      <c r="W25" s="0" t="n">
        <v>4007</v>
      </c>
      <c r="X25" s="0" t="n">
        <v>4015</v>
      </c>
      <c r="Y25" s="0" t="n">
        <v>4012</v>
      </c>
      <c r="Z25" s="0" t="n">
        <v>4011</v>
      </c>
      <c r="AA25" s="0" t="n">
        <v>4018</v>
      </c>
      <c r="AC25" s="0" t="n">
        <v>1032</v>
      </c>
      <c r="AD25" s="0" t="n">
        <v>1030</v>
      </c>
      <c r="AE25" s="0" t="n">
        <v>1028</v>
      </c>
      <c r="AF25" s="0" t="n">
        <v>1032</v>
      </c>
      <c r="AG25" s="0" t="n">
        <v>1040</v>
      </c>
      <c r="AH25" s="0" t="n">
        <v>105</v>
      </c>
      <c r="AI25" s="0" t="n">
        <v>103</v>
      </c>
      <c r="AJ25" s="0" t="n">
        <v>117</v>
      </c>
      <c r="AK25" s="0" t="n">
        <v>102</v>
      </c>
      <c r="AL25" s="0" t="n">
        <v>111</v>
      </c>
    </row>
    <row r="26" customFormat="false" ht="15" hidden="false" customHeight="false" outlineLevel="0" collapsed="false">
      <c r="B26" s="0" t="n">
        <v>1303</v>
      </c>
      <c r="C26" s="0" t="n">
        <v>-2.5</v>
      </c>
      <c r="F26" s="0" t="s">
        <v>75</v>
      </c>
      <c r="G26" s="0" t="n">
        <v>1525</v>
      </c>
      <c r="H26" s="0" t="n">
        <v>60</v>
      </c>
      <c r="K26" s="0" t="s">
        <v>77</v>
      </c>
      <c r="L26" s="0" t="n">
        <v>2058</v>
      </c>
      <c r="M26" s="0" t="n">
        <v>2052</v>
      </c>
      <c r="N26" s="0" t="n">
        <v>2053</v>
      </c>
      <c r="O26" s="0" t="n">
        <v>2053</v>
      </c>
      <c r="P26" s="0" t="n">
        <v>2056</v>
      </c>
      <c r="Q26" s="0" t="n">
        <v>3082</v>
      </c>
      <c r="R26" s="0" t="n">
        <v>3072</v>
      </c>
      <c r="S26" s="0" t="n">
        <v>3069</v>
      </c>
      <c r="T26" s="0" t="n">
        <v>3083</v>
      </c>
      <c r="U26" s="0" t="n">
        <v>3074</v>
      </c>
      <c r="W26" s="0" t="n">
        <v>3994</v>
      </c>
      <c r="X26" s="0" t="n">
        <v>3998</v>
      </c>
      <c r="Y26" s="0" t="n">
        <v>3999</v>
      </c>
      <c r="Z26" s="0" t="n">
        <v>3997</v>
      </c>
      <c r="AA26" s="0" t="n">
        <v>3998</v>
      </c>
      <c r="AC26" s="0" t="n">
        <v>1029</v>
      </c>
      <c r="AD26" s="0" t="n">
        <v>1026</v>
      </c>
      <c r="AE26" s="0" t="n">
        <v>1027</v>
      </c>
      <c r="AF26" s="0" t="n">
        <v>1026</v>
      </c>
      <c r="AG26" s="0" t="n">
        <v>1029</v>
      </c>
      <c r="AH26" s="0" t="n">
        <v>100</v>
      </c>
      <c r="AI26" s="0" t="n">
        <v>101</v>
      </c>
      <c r="AJ26" s="0" t="n">
        <v>108</v>
      </c>
      <c r="AK26" s="0" t="n">
        <v>100</v>
      </c>
      <c r="AL26" s="0" t="n">
        <v>107</v>
      </c>
    </row>
    <row r="27" customFormat="false" ht="15" hidden="false" customHeight="false" outlineLevel="0" collapsed="false">
      <c r="B27" s="0" t="n">
        <v>552</v>
      </c>
      <c r="C27" s="0" t="n">
        <v>-5</v>
      </c>
      <c r="G27" s="0" t="n">
        <v>761</v>
      </c>
      <c r="H27" s="0" t="n">
        <v>30</v>
      </c>
      <c r="K27" s="0" t="s">
        <v>78</v>
      </c>
      <c r="L27" s="0" t="n">
        <v>2055</v>
      </c>
      <c r="M27" s="0" t="n">
        <v>2062</v>
      </c>
      <c r="N27" s="0" t="n">
        <v>2079</v>
      </c>
      <c r="O27" s="0" t="n">
        <v>2069</v>
      </c>
      <c r="P27" s="0" t="n">
        <v>2062</v>
      </c>
      <c r="Q27" s="0" t="n">
        <v>3090</v>
      </c>
      <c r="R27" s="0" t="n">
        <v>3074</v>
      </c>
      <c r="S27" s="0" t="n">
        <v>3078</v>
      </c>
      <c r="T27" s="0" t="n">
        <v>3087</v>
      </c>
      <c r="U27" s="0" t="n">
        <v>3103</v>
      </c>
      <c r="W27" s="0" t="n">
        <v>4003</v>
      </c>
      <c r="X27" s="0" t="n">
        <v>4004</v>
      </c>
      <c r="Y27" s="0" t="n">
        <v>4015</v>
      </c>
      <c r="Z27" s="0" t="n">
        <v>4010</v>
      </c>
      <c r="AA27" s="0" t="n">
        <v>3997</v>
      </c>
      <c r="AC27" s="0" t="n">
        <v>1034</v>
      </c>
      <c r="AD27" s="0" t="n">
        <v>1033</v>
      </c>
      <c r="AE27" s="0" t="n">
        <v>1038</v>
      </c>
      <c r="AF27" s="0" t="n">
        <v>1026</v>
      </c>
      <c r="AG27" s="0" t="n">
        <v>1039</v>
      </c>
      <c r="AH27" s="0" t="n">
        <v>127</v>
      </c>
      <c r="AI27" s="0" t="n">
        <v>108</v>
      </c>
      <c r="AJ27" s="0" t="n">
        <v>130</v>
      </c>
      <c r="AK27" s="0" t="n">
        <v>106</v>
      </c>
      <c r="AL27" s="0" t="n">
        <v>120</v>
      </c>
    </row>
    <row r="28" customFormat="false" ht="15" hidden="false" customHeight="false" outlineLevel="0" collapsed="false">
      <c r="A28" s="0" t="s">
        <v>82</v>
      </c>
      <c r="B28" s="0" t="n">
        <v>2365</v>
      </c>
      <c r="C28" s="0" t="n">
        <v>1</v>
      </c>
    </row>
    <row r="29" customFormat="false" ht="15" hidden="false" customHeight="false" outlineLevel="0" collapsed="false">
      <c r="B29" s="0" t="n">
        <v>2820</v>
      </c>
      <c r="C29" s="0" t="n">
        <v>2.5</v>
      </c>
    </row>
    <row r="30" customFormat="false" ht="15" hidden="false" customHeight="false" outlineLevel="0" collapsed="false">
      <c r="B30" s="0" t="n">
        <v>3580</v>
      </c>
      <c r="C30" s="0" t="n">
        <v>5</v>
      </c>
    </row>
    <row r="31" customFormat="false" ht="15" hidden="false" customHeight="false" outlineLevel="0" collapsed="false">
      <c r="B31" s="0" t="n">
        <v>1757</v>
      </c>
      <c r="C31" s="0" t="n">
        <v>-1</v>
      </c>
      <c r="H31" s="0" t="n">
        <v>-60</v>
      </c>
      <c r="N31" s="0" t="n">
        <v>130</v>
      </c>
    </row>
    <row r="32" customFormat="false" ht="15" hidden="false" customHeight="false" outlineLevel="0" collapsed="false">
      <c r="B32" s="0" t="n">
        <v>1300</v>
      </c>
      <c r="C32" s="0" t="n">
        <v>-2.5</v>
      </c>
      <c r="F32" s="0" t="s">
        <v>76</v>
      </c>
      <c r="G32" s="0" t="n">
        <v>2979</v>
      </c>
      <c r="H32" s="0" t="n">
        <v>60</v>
      </c>
    </row>
    <row r="33" customFormat="false" ht="15" hidden="false" customHeight="false" outlineLevel="0" collapsed="false">
      <c r="B33" s="0" t="n">
        <v>538</v>
      </c>
      <c r="C33" s="0" t="n">
        <v>-5</v>
      </c>
      <c r="G33" s="0" t="n">
        <v>2519</v>
      </c>
      <c r="H33" s="0" t="n">
        <v>30</v>
      </c>
    </row>
    <row r="34" customFormat="false" ht="15" hidden="false" customHeight="false" outlineLevel="0" collapsed="false">
      <c r="A34" s="0" t="s">
        <v>71</v>
      </c>
      <c r="B34" s="0" t="n">
        <v>2350</v>
      </c>
      <c r="C34" s="0" t="n">
        <v>1</v>
      </c>
    </row>
    <row r="35" customFormat="false" ht="15" hidden="false" customHeight="false" outlineLevel="0" collapsed="false">
      <c r="B35" s="0" t="n">
        <v>2810</v>
      </c>
      <c r="C35" s="0" t="n">
        <v>2.5</v>
      </c>
    </row>
    <row r="36" customFormat="false" ht="15" hidden="false" customHeight="false" outlineLevel="0" collapsed="false">
      <c r="B36" s="0" t="n">
        <v>3562</v>
      </c>
      <c r="C36" s="0" t="n">
        <v>5</v>
      </c>
      <c r="G36" s="0" t="n">
        <v>1601</v>
      </c>
      <c r="H36" s="0" t="n">
        <v>-30</v>
      </c>
    </row>
    <row r="37" customFormat="false" ht="15" hidden="false" customHeight="false" outlineLevel="0" collapsed="false">
      <c r="B37" s="0" t="n">
        <v>1746</v>
      </c>
      <c r="C37" s="0" t="n">
        <v>-1</v>
      </c>
      <c r="G37" s="0" t="n">
        <v>1142</v>
      </c>
      <c r="H37" s="0" t="n">
        <v>-60</v>
      </c>
    </row>
    <row r="38" customFormat="false" ht="15" hidden="false" customHeight="false" outlineLevel="0" collapsed="false">
      <c r="B38" s="0" t="n">
        <v>1291</v>
      </c>
      <c r="C38" s="0" t="n">
        <v>-2.5</v>
      </c>
      <c r="F38" s="0" t="s">
        <v>77</v>
      </c>
      <c r="G38" s="0" t="n">
        <v>2982</v>
      </c>
      <c r="H38" s="0" t="n">
        <v>60</v>
      </c>
    </row>
    <row r="39" customFormat="false" ht="15" hidden="false" customHeight="false" outlineLevel="0" collapsed="false">
      <c r="B39" s="0" t="n">
        <v>537</v>
      </c>
      <c r="C39" s="0" t="n">
        <v>-5</v>
      </c>
      <c r="G39" s="0" t="n">
        <v>2523</v>
      </c>
      <c r="H39" s="0" t="n">
        <v>30</v>
      </c>
    </row>
    <row r="40" customFormat="false" ht="15" hidden="false" customHeight="false" outlineLevel="0" collapsed="false">
      <c r="A40" s="0" t="s">
        <v>83</v>
      </c>
      <c r="B40" s="0" t="n">
        <v>2361</v>
      </c>
      <c r="C40" s="0" t="n">
        <v>1</v>
      </c>
    </row>
    <row r="41" customFormat="false" ht="15" hidden="false" customHeight="false" outlineLevel="0" collapsed="false">
      <c r="B41" s="0" t="n">
        <v>2817</v>
      </c>
      <c r="C41" s="0" t="n">
        <v>2.5</v>
      </c>
    </row>
    <row r="42" customFormat="false" ht="15" hidden="false" customHeight="false" outlineLevel="0" collapsed="false">
      <c r="B42" s="0" t="n">
        <v>3573</v>
      </c>
      <c r="C42" s="0" t="n">
        <v>5</v>
      </c>
      <c r="G42" s="0" t="n">
        <v>1605</v>
      </c>
      <c r="H42" s="0" t="n">
        <v>-30</v>
      </c>
    </row>
    <row r="43" customFormat="false" ht="15" hidden="false" customHeight="false" outlineLevel="0" collapsed="false">
      <c r="B43" s="0" t="n">
        <v>1758</v>
      </c>
      <c r="C43" s="0" t="n">
        <v>-1</v>
      </c>
      <c r="G43" s="0" t="n">
        <v>1147</v>
      </c>
      <c r="H43" s="0" t="n">
        <v>-60</v>
      </c>
    </row>
    <row r="44" customFormat="false" ht="15" hidden="false" customHeight="false" outlineLevel="0" collapsed="false">
      <c r="B44" s="0" t="n">
        <v>1312</v>
      </c>
      <c r="C44" s="0" t="n">
        <v>-2.5</v>
      </c>
      <c r="F44" s="0" t="s">
        <v>78</v>
      </c>
      <c r="H44" s="0" t="n">
        <v>60</v>
      </c>
    </row>
    <row r="45" customFormat="false" ht="15" hidden="false" customHeight="false" outlineLevel="0" collapsed="false">
      <c r="B45" s="0" t="n">
        <v>536</v>
      </c>
      <c r="C45" s="0" t="n">
        <v>-5</v>
      </c>
    </row>
    <row r="50" customFormat="false" ht="15" hidden="false" customHeight="false" outlineLevel="0" collapsed="false">
      <c r="F50" s="0" t="s">
        <v>75</v>
      </c>
      <c r="G50" s="0" t="n">
        <v>924</v>
      </c>
      <c r="H50" s="0" t="n">
        <v>60</v>
      </c>
    </row>
    <row r="51" customFormat="false" ht="15" hidden="false" customHeight="false" outlineLevel="0" collapsed="false">
      <c r="G51" s="0" t="n">
        <v>465</v>
      </c>
      <c r="H51" s="0" t="n">
        <v>30</v>
      </c>
    </row>
    <row r="56" customFormat="false" ht="15" hidden="false" customHeight="false" outlineLevel="0" collapsed="false">
      <c r="F56" s="0" t="s">
        <v>84</v>
      </c>
      <c r="G56" s="0" t="n">
        <v>3590</v>
      </c>
      <c r="H56" s="0" t="n">
        <v>60</v>
      </c>
      <c r="J56" s="0" t="s">
        <v>85</v>
      </c>
      <c r="K56" s="0" t="n">
        <f aca="false">(H56-H57)/(G56-G57)</f>
        <v>0.0391644908616188</v>
      </c>
    </row>
    <row r="57" customFormat="false" ht="15" hidden="false" customHeight="false" outlineLevel="0" collapsed="false">
      <c r="G57" s="0" t="n">
        <v>2824</v>
      </c>
      <c r="H57" s="0" t="n">
        <v>30</v>
      </c>
    </row>
    <row r="60" customFormat="false" ht="15" hidden="false" customHeight="false" outlineLevel="0" collapsed="false">
      <c r="G60" s="0" t="n">
        <v>1292</v>
      </c>
      <c r="H60" s="0" t="n">
        <v>-30</v>
      </c>
      <c r="J60" s="0" t="s">
        <v>85</v>
      </c>
    </row>
    <row r="61" customFormat="false" ht="15" hidden="false" customHeight="false" outlineLevel="0" collapsed="false">
      <c r="G61" s="0" t="n">
        <v>525</v>
      </c>
      <c r="H61" s="0" t="n">
        <v>-60</v>
      </c>
    </row>
    <row r="62" customFormat="false" ht="15" hidden="false" customHeight="false" outlineLevel="0" collapsed="false">
      <c r="F62" s="0" t="s">
        <v>86</v>
      </c>
      <c r="G62" s="0" t="n">
        <v>3589</v>
      </c>
      <c r="H62" s="0" t="n">
        <v>60</v>
      </c>
      <c r="J62" s="0" t="s">
        <v>87</v>
      </c>
    </row>
    <row r="63" customFormat="false" ht="15" hidden="false" customHeight="false" outlineLevel="0" collapsed="false">
      <c r="G63" s="0" t="n">
        <v>2821</v>
      </c>
      <c r="H63" s="0" t="n">
        <v>30</v>
      </c>
    </row>
    <row r="66" customFormat="false" ht="15" hidden="false" customHeight="false" outlineLevel="0" collapsed="false">
      <c r="G66" s="0" t="n">
        <v>1285</v>
      </c>
      <c r="H66" s="0" t="n">
        <v>-30</v>
      </c>
    </row>
    <row r="67" customFormat="false" ht="15" hidden="false" customHeight="false" outlineLevel="0" collapsed="false">
      <c r="G67" s="0" t="n">
        <v>518</v>
      </c>
      <c r="H67" s="0" t="n">
        <v>-60</v>
      </c>
    </row>
    <row r="72" customFormat="false" ht="15" hidden="false" customHeight="false" outlineLevel="0" collapsed="false">
      <c r="F72" s="0" t="s">
        <v>88</v>
      </c>
      <c r="G72" s="0" t="n">
        <v>153</v>
      </c>
    </row>
    <row r="73" customFormat="false" ht="13.8" hidden="false" customHeight="false" outlineLevel="0" collapsed="false">
      <c r="G73" s="0" t="s">
        <v>89</v>
      </c>
      <c r="H73" s="0" t="s">
        <v>68</v>
      </c>
      <c r="J73" s="0" t="s">
        <v>90</v>
      </c>
    </row>
    <row r="74" customFormat="false" ht="13.8" hidden="false" customHeight="false" outlineLevel="0" collapsed="false">
      <c r="F74" s="0" t="s">
        <v>91</v>
      </c>
      <c r="G74" s="0" t="n">
        <v>0</v>
      </c>
      <c r="H74" s="0" t="n">
        <v>19</v>
      </c>
    </row>
    <row r="75" customFormat="false" ht="13.8" hidden="false" customHeight="false" outlineLevel="0" collapsed="false">
      <c r="G75" s="0" t="n">
        <v>5</v>
      </c>
      <c r="H75" s="0" t="n">
        <v>134</v>
      </c>
      <c r="J75" s="12" t="n">
        <f aca="false">(H75-H74)/(G75-G74)</f>
        <v>23</v>
      </c>
    </row>
    <row r="76" customFormat="false" ht="13.8" hidden="false" customHeight="false" outlineLevel="0" collapsed="false">
      <c r="G76" s="0" t="n">
        <v>10</v>
      </c>
      <c r="H76" s="0" t="n">
        <v>262</v>
      </c>
      <c r="J76" s="12" t="n">
        <f aca="false">(H76-H75)/(G76-G75)</f>
        <v>25.6</v>
      </c>
      <c r="N76" s="0" t="s">
        <v>92</v>
      </c>
    </row>
    <row r="77" customFormat="false" ht="13.8" hidden="false" customHeight="false" outlineLevel="0" collapsed="false">
      <c r="G77" s="0" t="n">
        <v>20</v>
      </c>
      <c r="H77" s="0" t="n">
        <v>517</v>
      </c>
      <c r="J77" s="12" t="n">
        <f aca="false">(H77-H76)/(G77-G76)</f>
        <v>25.5</v>
      </c>
      <c r="M77" s="13" t="s">
        <v>93</v>
      </c>
      <c r="N77" s="13" t="s">
        <v>94</v>
      </c>
      <c r="O77" s="13" t="s">
        <v>95</v>
      </c>
      <c r="P77" s="13" t="s">
        <v>96</v>
      </c>
      <c r="Q77" s="13" t="s">
        <v>97</v>
      </c>
      <c r="R77" s="13" t="s">
        <v>98</v>
      </c>
      <c r="S77" s="13" t="s">
        <v>99</v>
      </c>
    </row>
    <row r="78" customFormat="false" ht="13.8" hidden="false" customHeight="false" outlineLevel="0" collapsed="false">
      <c r="G78" s="0" t="n">
        <v>30</v>
      </c>
      <c r="H78" s="0" t="n">
        <v>772</v>
      </c>
      <c r="J78" s="12" t="n">
        <f aca="false">(H78-H77)/(G78-G77)</f>
        <v>25.5</v>
      </c>
      <c r="M78" s="14"/>
      <c r="N78" s="14" t="n">
        <v>-0.0033</v>
      </c>
      <c r="O78" s="14" t="n">
        <v>-0.0233</v>
      </c>
      <c r="P78" s="14" t="n">
        <v>-0.0266</v>
      </c>
      <c r="Q78" s="14" t="n">
        <v>-0.0033</v>
      </c>
      <c r="R78" s="14" t="n">
        <v>-0.0066</v>
      </c>
      <c r="S78" s="14" t="n">
        <v>-0.0266</v>
      </c>
    </row>
    <row r="79" customFormat="false" ht="13.8" hidden="false" customHeight="false" outlineLevel="0" collapsed="false">
      <c r="G79" s="0" t="n">
        <v>40</v>
      </c>
      <c r="H79" s="0" t="n">
        <v>1028</v>
      </c>
      <c r="J79" s="12" t="n">
        <f aca="false">(H79-H78)/(G79-G78)</f>
        <v>25.6</v>
      </c>
      <c r="M79" s="15"/>
      <c r="N79" s="15" t="n">
        <v>-0.0033</v>
      </c>
      <c r="O79" s="15" t="n">
        <v>-0.0199</v>
      </c>
      <c r="P79" s="15" t="n">
        <v>0</v>
      </c>
      <c r="Q79" s="15" t="n">
        <v>-0.0165</v>
      </c>
      <c r="R79" s="15" t="n">
        <v>-0.0166</v>
      </c>
      <c r="S79" s="15" t="n">
        <v>0.0033</v>
      </c>
    </row>
    <row r="80" customFormat="false" ht="13.8" hidden="false" customHeight="false" outlineLevel="0" collapsed="false">
      <c r="M80" s="14"/>
      <c r="N80" s="14" t="n">
        <v>0</v>
      </c>
      <c r="O80" s="14" t="n">
        <v>-0.0133</v>
      </c>
      <c r="P80" s="14" t="n">
        <v>-0.0166</v>
      </c>
      <c r="Q80" s="14" t="n">
        <v>-0.0033</v>
      </c>
      <c r="R80" s="14" t="n">
        <v>-0.0132</v>
      </c>
      <c r="S80" s="14" t="n">
        <v>0.0233</v>
      </c>
    </row>
    <row r="81" customFormat="false" ht="15" hidden="false" customHeight="false" outlineLevel="0" collapsed="false">
      <c r="I81" s="0" t="s">
        <v>100</v>
      </c>
      <c r="J81" s="12" t="n">
        <f aca="false">AVERAGE(J75:J79)</f>
        <v>25.04</v>
      </c>
    </row>
    <row r="82" customFormat="false" ht="13.8" hidden="false" customHeight="false" outlineLevel="0" collapsed="false">
      <c r="N82" s="0" t="s">
        <v>92</v>
      </c>
    </row>
    <row r="83" customFormat="false" ht="13.8" hidden="false" customHeight="false" outlineLevel="0" collapsed="false">
      <c r="M83" s="13" t="s">
        <v>101</v>
      </c>
      <c r="N83" s="13" t="s">
        <v>94</v>
      </c>
      <c r="O83" s="13" t="s">
        <v>95</v>
      </c>
      <c r="P83" s="13" t="s">
        <v>96</v>
      </c>
      <c r="Q83" s="13" t="s">
        <v>97</v>
      </c>
      <c r="R83" s="13" t="s">
        <v>98</v>
      </c>
      <c r="S83" s="13" t="s">
        <v>99</v>
      </c>
    </row>
    <row r="84" customFormat="false" ht="13.8" hidden="false" customHeight="false" outlineLevel="0" collapsed="false">
      <c r="M84" s="14"/>
      <c r="N84" s="14" t="n">
        <v>-1.0166</v>
      </c>
      <c r="O84" s="14" t="n">
        <v>-1.0299</v>
      </c>
      <c r="P84" s="14" t="n">
        <v>-1.0299</v>
      </c>
      <c r="Q84" s="14" t="n">
        <v>-1.02649</v>
      </c>
      <c r="R84" s="14" t="n">
        <v>-1.0066</v>
      </c>
      <c r="S84" s="14" t="n">
        <v>-0.99</v>
      </c>
    </row>
    <row r="85" customFormat="false" ht="13.8" hidden="false" customHeight="false" outlineLevel="0" collapsed="false">
      <c r="M85" s="15"/>
      <c r="N85" s="15" t="n">
        <v>-1.0166</v>
      </c>
      <c r="O85" s="15" t="n">
        <v>-1.0233</v>
      </c>
      <c r="P85" s="15" t="n">
        <v>-1.01999</v>
      </c>
      <c r="Q85" s="15" t="n">
        <v>-1.0132</v>
      </c>
      <c r="R85" s="15" t="n">
        <v>-1.0265</v>
      </c>
      <c r="S85" s="15" t="n">
        <v>-1.0433</v>
      </c>
    </row>
    <row r="86" customFormat="false" ht="13.8" hidden="false" customHeight="false" outlineLevel="0" collapsed="false">
      <c r="M86" s="14"/>
      <c r="N86" s="14" t="n">
        <v>-1.0166</v>
      </c>
      <c r="O86" s="14" t="n">
        <v>-1.066</v>
      </c>
      <c r="P86" s="14" t="n">
        <v>-1.0299</v>
      </c>
      <c r="Q86" s="14" t="n">
        <v>-1.0198</v>
      </c>
      <c r="R86" s="14" t="n">
        <v>-1.00664</v>
      </c>
      <c r="S86" s="14" t="n">
        <v>-0.9633</v>
      </c>
    </row>
    <row r="87" customFormat="false" ht="13.8" hidden="false" customHeight="false" outlineLevel="0" collapsed="false">
      <c r="M87" s="15"/>
      <c r="N87" s="15"/>
      <c r="O87" s="15"/>
      <c r="P87" s="15"/>
      <c r="Q87" s="15"/>
      <c r="R87" s="15"/>
      <c r="S87" s="15"/>
    </row>
    <row r="88" customFormat="false" ht="13.8" hidden="false" customHeight="false" outlineLevel="0" collapsed="false">
      <c r="M88" s="14"/>
      <c r="N88" s="14"/>
      <c r="O88" s="14"/>
      <c r="P88" s="14"/>
      <c r="Q88" s="14"/>
      <c r="R88" s="14"/>
      <c r="S88" s="14"/>
    </row>
    <row r="89" customFormat="false" ht="13.8" hidden="false" customHeight="false" outlineLevel="0" collapsed="false">
      <c r="M89" s="15"/>
      <c r="N89" s="15"/>
      <c r="O89" s="15"/>
      <c r="P89" s="15"/>
      <c r="Q89" s="15"/>
      <c r="R89" s="15"/>
      <c r="S89" s="15"/>
    </row>
    <row r="90" customFormat="false" ht="13.8" hidden="false" customHeight="false" outlineLevel="0" collapsed="false">
      <c r="M90" s="14"/>
      <c r="N90" s="14"/>
      <c r="O90" s="14"/>
      <c r="P90" s="14"/>
      <c r="Q90" s="14"/>
      <c r="R90" s="14"/>
      <c r="S90" s="14"/>
    </row>
    <row r="93" customFormat="false" ht="13.8" hidden="false" customHeight="false" outlineLevel="0" collapsed="false">
      <c r="N93" s="0" t="s">
        <v>92</v>
      </c>
    </row>
    <row r="94" customFormat="false" ht="13.8" hidden="false" customHeight="false" outlineLevel="0" collapsed="false">
      <c r="M94" s="13" t="s">
        <v>102</v>
      </c>
      <c r="N94" s="13" t="s">
        <v>94</v>
      </c>
      <c r="O94" s="13" t="s">
        <v>95</v>
      </c>
      <c r="P94" s="13" t="s">
        <v>96</v>
      </c>
      <c r="Q94" s="13" t="s">
        <v>97</v>
      </c>
      <c r="R94" s="13" t="s">
        <v>98</v>
      </c>
      <c r="S94" s="13" t="s">
        <v>99</v>
      </c>
    </row>
    <row r="95" customFormat="false" ht="13.8" hidden="false" customHeight="false" outlineLevel="0" collapsed="false">
      <c r="M95" s="14"/>
      <c r="N95" s="14" t="n">
        <v>-2.0199</v>
      </c>
      <c r="O95" s="14" t="n">
        <v>-2.0148</v>
      </c>
      <c r="P95" s="14" t="n">
        <v>-2.033</v>
      </c>
      <c r="Q95" s="14" t="n">
        <v>-2.033</v>
      </c>
      <c r="R95" s="14" t="n">
        <v>-2.0125</v>
      </c>
      <c r="S95" s="14" t="n">
        <v>-2.057</v>
      </c>
    </row>
    <row r="96" customFormat="false" ht="13.8" hidden="false" customHeight="false" outlineLevel="0" collapsed="false">
      <c r="M96" s="15"/>
      <c r="N96" s="15" t="n">
        <v>-2.0067</v>
      </c>
      <c r="O96" s="15" t="n">
        <v>-2.0248</v>
      </c>
      <c r="P96" s="15" t="n">
        <v>-2.0136</v>
      </c>
      <c r="Q96" s="15" t="n">
        <v>-2.0137</v>
      </c>
      <c r="R96" s="15" t="n">
        <v>-2.0092</v>
      </c>
      <c r="S96" s="15" t="n">
        <v>-2.0571</v>
      </c>
    </row>
    <row r="97" customFormat="false" ht="13.8" hidden="false" customHeight="false" outlineLevel="0" collapsed="false">
      <c r="M97" s="14"/>
      <c r="N97" s="14" t="n">
        <v>-2.0034</v>
      </c>
      <c r="O97" s="14" t="n">
        <v>-2.0215</v>
      </c>
      <c r="P97" s="14" t="n">
        <v>-2.0336</v>
      </c>
      <c r="Q97" s="14" t="n">
        <v>-2.017</v>
      </c>
      <c r="R97" s="14" t="n">
        <v>-2.0158</v>
      </c>
      <c r="S97" s="14" t="n">
        <v>-1.98</v>
      </c>
    </row>
    <row r="100" customFormat="false" ht="13.8" hidden="false" customHeight="false" outlineLevel="0" collapsed="false">
      <c r="N100" s="0" t="s">
        <v>92</v>
      </c>
    </row>
    <row r="101" customFormat="false" ht="13.8" hidden="false" customHeight="false" outlineLevel="0" collapsed="false">
      <c r="M101" s="13" t="s">
        <v>103</v>
      </c>
      <c r="N101" s="13" t="s">
        <v>94</v>
      </c>
      <c r="O101" s="13" t="s">
        <v>95</v>
      </c>
      <c r="P101" s="13" t="s">
        <v>96</v>
      </c>
      <c r="Q101" s="13" t="s">
        <v>97</v>
      </c>
      <c r="R101" s="13" t="s">
        <v>98</v>
      </c>
      <c r="S101" s="13" t="s">
        <v>99</v>
      </c>
    </row>
    <row r="102" customFormat="false" ht="13.8" hidden="false" customHeight="false" outlineLevel="0" collapsed="false">
      <c r="M102" s="14"/>
      <c r="N102" s="14" t="n">
        <v>-3.0316</v>
      </c>
      <c r="O102" s="14" t="n">
        <v>-3.0206</v>
      </c>
      <c r="P102" s="14" t="n">
        <v>-3.0272</v>
      </c>
      <c r="Q102" s="14" t="n">
        <v>-3.0272</v>
      </c>
      <c r="R102" s="14" t="n">
        <v>-3.0354</v>
      </c>
      <c r="S102" s="14" t="n">
        <v>-3.104</v>
      </c>
    </row>
    <row r="103" customFormat="false" ht="13.8" hidden="false" customHeight="false" outlineLevel="0" collapsed="false">
      <c r="M103" s="15"/>
      <c r="N103" s="15" t="n">
        <v>-3.005</v>
      </c>
      <c r="O103" s="15" t="n">
        <v>-3.0239</v>
      </c>
      <c r="P103" s="15" t="n">
        <v>-3.0338</v>
      </c>
      <c r="Q103" s="15" t="n">
        <v>-3.0205</v>
      </c>
      <c r="R103" s="15" t="n">
        <v>-3.0221</v>
      </c>
      <c r="S103" s="15" t="n">
        <v>-3.06404</v>
      </c>
    </row>
    <row r="104" customFormat="false" ht="13.8" hidden="false" customHeight="false" outlineLevel="0" collapsed="false">
      <c r="M104" s="14"/>
      <c r="N104" s="14" t="n">
        <v>-3.0283</v>
      </c>
      <c r="O104" s="14" t="n">
        <v>-3.0172</v>
      </c>
      <c r="P104" s="14" t="n">
        <v>-3.0238</v>
      </c>
      <c r="Q104" s="14" t="n">
        <v>-3.0139</v>
      </c>
      <c r="R104" s="14" t="n">
        <v>-3.0122</v>
      </c>
      <c r="S104" s="14" t="n">
        <v>-2.9774</v>
      </c>
    </row>
    <row r="108" customFormat="false" ht="13.8" hidden="false" customHeight="false" outlineLevel="0" collapsed="false">
      <c r="N108" s="0" t="s">
        <v>104</v>
      </c>
    </row>
    <row r="109" customFormat="false" ht="13.8" hidden="false" customHeight="false" outlineLevel="0" collapsed="false">
      <c r="M109" s="13" t="s">
        <v>101</v>
      </c>
      <c r="N109" s="13" t="s">
        <v>94</v>
      </c>
      <c r="O109" s="13" t="s">
        <v>95</v>
      </c>
      <c r="P109" s="13" t="s">
        <v>96</v>
      </c>
      <c r="Q109" s="13" t="s">
        <v>97</v>
      </c>
      <c r="R109" s="13" t="s">
        <v>98</v>
      </c>
      <c r="S109" s="13" t="s">
        <v>99</v>
      </c>
    </row>
    <row r="110" customFormat="false" ht="13.8" hidden="false" customHeight="false" outlineLevel="0" collapsed="false">
      <c r="M110" s="14"/>
      <c r="N110" s="14" t="n">
        <v>1.0083</v>
      </c>
      <c r="O110" s="14" t="n">
        <v>0.9958</v>
      </c>
      <c r="P110" s="14" t="n">
        <v>0.9868</v>
      </c>
      <c r="Q110" s="14" t="n">
        <v>1.0035</v>
      </c>
      <c r="R110" s="14" t="n">
        <v>0.9929</v>
      </c>
      <c r="S110" s="14" t="n">
        <v>1.0269</v>
      </c>
    </row>
    <row r="111" customFormat="false" ht="13.8" hidden="false" customHeight="false" outlineLevel="0" collapsed="false">
      <c r="M111" s="15"/>
      <c r="N111" s="15" t="n">
        <v>0.995</v>
      </c>
      <c r="O111" s="15" t="n">
        <v>1.0024</v>
      </c>
      <c r="P111" s="15" t="n">
        <v>1.0001</v>
      </c>
      <c r="Q111" s="15" t="n">
        <v>0.9903</v>
      </c>
      <c r="R111" s="15" t="n">
        <v>0.9963</v>
      </c>
      <c r="S111" s="15" t="n">
        <v>0.9702</v>
      </c>
    </row>
    <row r="112" customFormat="false" ht="13.8" hidden="false" customHeight="false" outlineLevel="0" collapsed="false">
      <c r="M112" s="14"/>
      <c r="N112" s="14" t="n">
        <v>1.01496</v>
      </c>
      <c r="O112" s="14" t="n">
        <v>0.9924</v>
      </c>
      <c r="P112" s="14" t="n">
        <v>0.9901</v>
      </c>
      <c r="Q112" s="14" t="n">
        <v>0.9969</v>
      </c>
      <c r="R112" s="14" t="n">
        <v>1.00627</v>
      </c>
      <c r="S112" s="14" t="n">
        <v>1.01023</v>
      </c>
    </row>
    <row r="116" customFormat="false" ht="13.8" hidden="false" customHeight="false" outlineLevel="0" collapsed="false">
      <c r="N116" s="0" t="s">
        <v>104</v>
      </c>
    </row>
    <row r="117" customFormat="false" ht="13.8" hidden="false" customHeight="false" outlineLevel="0" collapsed="false">
      <c r="M117" s="13" t="s">
        <v>102</v>
      </c>
      <c r="N117" s="13" t="s">
        <v>94</v>
      </c>
      <c r="O117" s="13" t="s">
        <v>95</v>
      </c>
      <c r="P117" s="13" t="s">
        <v>96</v>
      </c>
      <c r="Q117" s="13" t="s">
        <v>97</v>
      </c>
      <c r="R117" s="13" t="s">
        <v>98</v>
      </c>
      <c r="S117" s="13" t="s">
        <v>99</v>
      </c>
    </row>
    <row r="118" customFormat="false" ht="13.8" hidden="false" customHeight="false" outlineLevel="0" collapsed="false">
      <c r="M118" s="14"/>
      <c r="N118" s="14" t="n">
        <v>2</v>
      </c>
      <c r="O118" s="14" t="n">
        <v>1.9948</v>
      </c>
      <c r="P118" s="14" t="n">
        <v>2.0036</v>
      </c>
      <c r="Q118" s="14" t="n">
        <v>1.9971</v>
      </c>
      <c r="R118" s="14" t="n">
        <v>2.0059</v>
      </c>
      <c r="S118" s="14" t="n">
        <v>2.0271</v>
      </c>
    </row>
    <row r="119" customFormat="false" ht="13.8" hidden="false" customHeight="false" outlineLevel="0" collapsed="false">
      <c r="M119" s="15"/>
      <c r="N119" s="15" t="n">
        <v>2.0067</v>
      </c>
      <c r="O119" s="15" t="n">
        <v>2.0048</v>
      </c>
      <c r="P119" s="15" t="n">
        <v>2.0036</v>
      </c>
      <c r="Q119" s="15" t="n">
        <v>2.0037</v>
      </c>
      <c r="R119" s="15" t="n">
        <v>1.9959</v>
      </c>
      <c r="S119" s="15" t="n">
        <v>2.0138</v>
      </c>
    </row>
    <row r="120" customFormat="false" ht="13.8" hidden="false" customHeight="false" outlineLevel="0" collapsed="false">
      <c r="M120" s="14"/>
      <c r="N120" s="14" t="n">
        <v>2.0033</v>
      </c>
      <c r="O120" s="14" t="n">
        <v>1.9915</v>
      </c>
      <c r="P120" s="14" t="n">
        <v>1.9869</v>
      </c>
      <c r="Q120" s="14" t="n">
        <v>2.0071</v>
      </c>
      <c r="R120" s="14" t="n">
        <v>1.9959</v>
      </c>
      <c r="S120" s="14" t="n">
        <v>2.0447</v>
      </c>
    </row>
    <row r="125" customFormat="false" ht="13.8" hidden="false" customHeight="false" outlineLevel="0" collapsed="false">
      <c r="N125" s="0" t="s">
        <v>104</v>
      </c>
    </row>
    <row r="126" customFormat="false" ht="13.8" hidden="false" customHeight="false" outlineLevel="0" collapsed="false">
      <c r="M126" s="13" t="s">
        <v>103</v>
      </c>
      <c r="N126" s="13" t="s">
        <v>94</v>
      </c>
      <c r="O126" s="13" t="s">
        <v>95</v>
      </c>
      <c r="P126" s="13" t="s">
        <v>96</v>
      </c>
      <c r="Q126" s="13" t="s">
        <v>97</v>
      </c>
      <c r="R126" s="13" t="s">
        <v>98</v>
      </c>
      <c r="S126" s="13" t="s">
        <v>99</v>
      </c>
    </row>
    <row r="127" customFormat="false" ht="13.8" hidden="false" customHeight="false" outlineLevel="0" collapsed="false">
      <c r="M127" s="14"/>
      <c r="N127" s="14" t="n">
        <v>3.0183</v>
      </c>
      <c r="O127" s="14" t="n">
        <v>2.9906</v>
      </c>
      <c r="P127" s="14" t="n">
        <v>3.0038</v>
      </c>
      <c r="Q127" s="14" t="n">
        <v>2.9907</v>
      </c>
      <c r="R127" s="14" t="n">
        <v>2.9955</v>
      </c>
      <c r="S127" s="14" t="n">
        <v>2.9873</v>
      </c>
    </row>
    <row r="128" customFormat="false" ht="13.8" hidden="false" customHeight="false" outlineLevel="0" collapsed="false">
      <c r="M128" s="15"/>
      <c r="N128" s="15" t="n">
        <v>3.01502</v>
      </c>
      <c r="O128" s="15" t="n">
        <v>3.0073</v>
      </c>
      <c r="P128" s="15" t="n">
        <v>3.0005</v>
      </c>
      <c r="Q128" s="15" t="n">
        <v>2.9973</v>
      </c>
      <c r="R128" s="15" t="n">
        <v>2.9989</v>
      </c>
      <c r="S128" s="15" t="n">
        <v>3.0007</v>
      </c>
    </row>
    <row r="129" customFormat="false" ht="13.8" hidden="false" customHeight="false" outlineLevel="0" collapsed="false">
      <c r="M129" s="14"/>
      <c r="N129" s="14" t="n">
        <v>3.0084</v>
      </c>
      <c r="O129" s="14" t="n">
        <v>3.0006</v>
      </c>
      <c r="P129" s="14" t="n">
        <v>3.0038</v>
      </c>
      <c r="Q129" s="14" t="n">
        <v>3.004</v>
      </c>
      <c r="R129" s="14" t="n">
        <v>3.00222</v>
      </c>
      <c r="S129" s="14" t="n">
        <v>3.0107</v>
      </c>
    </row>
  </sheetData>
  <mergeCells count="10">
    <mergeCell ref="L7:P7"/>
    <mergeCell ref="Q7:V7"/>
    <mergeCell ref="W7:AB7"/>
    <mergeCell ref="AC7:AG7"/>
    <mergeCell ref="AH7:AL7"/>
    <mergeCell ref="L21:P21"/>
    <mergeCell ref="Q21:V21"/>
    <mergeCell ref="W21:AB21"/>
    <mergeCell ref="AC21:AG21"/>
    <mergeCell ref="AH21:AL2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201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2025-08-06T22:11:54Z</dcterms:created>
  <dc:creator>Gabriel Guardia</dc:creator>
  <dc:description/>
  <dc:language>es-ES</dc:language>
  <cp:lastModifiedBy/>
  <dcterms:modified xsi:type="dcterms:W3CDTF">2026-02-20T20:54:26Z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