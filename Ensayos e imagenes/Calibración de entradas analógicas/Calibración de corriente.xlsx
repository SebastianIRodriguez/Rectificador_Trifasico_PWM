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<sst xmlns="http://schemas.openxmlformats.org/spreadsheetml/2006/main" count="83" uniqueCount="23">
  <si>
    <t xml:space="preserve">R,S,T</t>
  </si>
  <si>
    <t xml:space="preserve">U,V,W</t>
  </si>
  <si>
    <t xml:space="preserve">50 % [V]</t>
  </si>
  <si>
    <t xml:space="preserve">95 % [V]</t>
  </si>
  <si>
    <t xml:space="preserve">100 % [V]</t>
  </si>
  <si>
    <t xml:space="preserve">Resolución [V/cuenta]</t>
  </si>
  <si>
    <t xml:space="preserve">Medición de Corriente positiva</t>
  </si>
  <si>
    <t xml:space="preserve">Constantes de escala positiva</t>
  </si>
  <si>
    <t xml:space="preserve">0 %</t>
  </si>
  <si>
    <t xml:space="preserve">promedio</t>
  </si>
  <si>
    <t xml:space="preserve">50 %</t>
  </si>
  <si>
    <t xml:space="preserve">95 %</t>
  </si>
  <si>
    <t xml:space="preserve">k1</t>
  </si>
  <si>
    <t xml:space="preserve">k2</t>
  </si>
  <si>
    <t xml:space="preserve">kprom</t>
  </si>
  <si>
    <t xml:space="preserve">Constantes de escala promedio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</si>
  <si>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</si>
  <si>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</si>
  <si>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</si>
  <si>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</si>
  <si>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</si>
  <si>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</si>
  <si>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Medición de Corriente negatriva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</si>
</sst>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"/>
    <numFmt numFmtId="167" formatCode="#,##0.00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000000"/>
      <name val="Aptos Narrow"/>
      <family val="2"/>
      <charset val="1"/>
    </font>
    <font>
      <sz val="13"/>
      <color rgb="FF000000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D7D7"/>
        <bgColor rgb="FFDDDDDD"/>
      </patternFill>
    </fill>
    <fill>
      <patternFill patternType="solid">
        <fgColor rgb="FFAFD095"/>
        <bgColor rgb="FFCCCCCC"/>
      </patternFill>
    </fill>
    <fill>
      <patternFill patternType="solid">
        <fgColor rgb="FFDDDDDD"/>
        <bgColor rgb="FFCCCCCC"/>
      </patternFill>
    </fill>
    <fill>
      <patternFill patternType="solid">
        <fgColor rgb="FFFFA6A6"/>
        <bgColor rgb="FFFF808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medium">
        <color rgb="FFCCCCCC"/>
      </left>
      <right style="dotted"/>
      <top style="dotted"/>
      <bottom style="dotted"/>
      <diagonal/>
    </border>
    <border diagonalUp="false" diagonalDown="false">
      <left style="dotted"/>
      <right style="dotted"/>
      <top style="medium">
        <color rgb="FFCCCCCC"/>
      </top>
      <bottom style="dotted"/>
      <diagonal/>
    </border>
    <border diagonalUp="false" diagonalDown="false">
      <left style="medium">
        <color rgb="FFCCCCCC"/>
      </left>
      <right style="dotted"/>
      <top style="medium">
        <color rgb="FFCCCCCC"/>
      </top>
      <bottom style="dotted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>
        <color rgb="FFCCCCCC"/>
      </left>
      <right style="dotted"/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dotted"/>
      <top style="dotted"/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dotted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dotted"/>
      <diagonal/>
    </border>
    <border diagonalUp="false" diagonalDown="false">
      <left style="dotted"/>
      <right style="dotted"/>
      <top style="dotted"/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4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4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0" fillId="5" borderId="4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0" fillId="5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A6A6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3:AG29"/>
  <sheetViews>
    <sheetView showFormulas="false" showGridLines="true" showRowColHeaders="true" showZeros="true" rightToLeft="false" tabSelected="true" showOutlineSymbols="true" defaultGridColor="true" view="normal" topLeftCell="P9" colorId="64" zoomScale="110" zoomScaleNormal="110" zoomScalePageLayoutView="100" workbookViewId="0">
      <selection pane="topLeft" activeCell="AE21" activeCellId="0" sqref="AE21"/>
    </sheetView>
  </sheetViews>
  <sheetFormatPr defaultColWidth="11.40234375" defaultRowHeight="15" zeroHeight="false" outlineLevelRow="0" outlineLevelCol="0"/>
  <sheetData>
    <row r="3" customFormat="false" ht="15.75" hidden="false" customHeight="false" outlineLevel="0" collapsed="false">
      <c r="C3" s="1"/>
      <c r="D3" s="2" t="s">
        <v>0</v>
      </c>
      <c r="E3" s="2" t="s">
        <v>1</v>
      </c>
    </row>
    <row r="4" customFormat="false" ht="15.75" hidden="false" customHeight="false" outlineLevel="0" collapsed="false">
      <c r="C4" s="3" t="s">
        <v>2</v>
      </c>
      <c r="D4" s="4" t="n">
        <v>3.4</v>
      </c>
      <c r="E4" s="4" t="n">
        <v>3.4</v>
      </c>
    </row>
    <row r="5" customFormat="false" ht="15.75" hidden="false" customHeight="false" outlineLevel="0" collapsed="false">
      <c r="C5" s="3" t="s">
        <v>3</v>
      </c>
      <c r="D5" s="5" t="n">
        <v>6.46</v>
      </c>
      <c r="E5" s="5" t="n">
        <v>6.46</v>
      </c>
    </row>
    <row r="6" customFormat="false" ht="15.75" hidden="false" customHeight="false" outlineLevel="0" collapsed="false">
      <c r="C6" s="3" t="s">
        <v>4</v>
      </c>
      <c r="D6" s="4" t="n">
        <v>6.8</v>
      </c>
      <c r="E6" s="4" t="n">
        <v>6.8</v>
      </c>
    </row>
    <row r="7" customFormat="false" ht="30" hidden="false" customHeight="false" outlineLevel="0" collapsed="false">
      <c r="C7" s="6" t="s">
        <v>5</v>
      </c>
      <c r="D7" s="7" t="n">
        <f aca="false">D6*2/4095</f>
        <v>0.00332112332112332</v>
      </c>
      <c r="E7" s="7" t="n">
        <f aca="false">E6*2/4095</f>
        <v>0.00332112332112332</v>
      </c>
    </row>
    <row r="8" customFormat="false" ht="15.75" hidden="false" customHeight="false" outlineLevel="0" collapsed="false"/>
    <row r="9" customFormat="false" ht="27" hidden="false" customHeight="true" outlineLevel="0" collapsed="false">
      <c r="C9" s="8" t="s">
        <v>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  <c r="AB9" s="10" t="s">
        <v>7</v>
      </c>
      <c r="AC9" s="10"/>
      <c r="AD9" s="10"/>
    </row>
    <row r="10" customFormat="false" ht="15.75" hidden="false" customHeight="false" outlineLevel="0" collapsed="false">
      <c r="C10" s="11"/>
      <c r="D10" s="12"/>
      <c r="E10" s="12"/>
      <c r="F10" s="12"/>
      <c r="G10" s="12"/>
      <c r="H10" s="12"/>
      <c r="I10" s="13"/>
      <c r="J10" s="11"/>
      <c r="K10" s="11"/>
      <c r="L10" s="13"/>
      <c r="M10" s="13"/>
      <c r="N10" s="13"/>
      <c r="O10" s="13"/>
      <c r="P10" s="13"/>
      <c r="Q10" s="13"/>
      <c r="R10" s="11"/>
      <c r="S10" s="11"/>
      <c r="T10" s="12"/>
      <c r="U10" s="12"/>
      <c r="V10" s="12"/>
      <c r="W10" s="12"/>
      <c r="X10" s="12"/>
      <c r="Y10" s="13"/>
      <c r="Z10" s="11"/>
      <c r="AA10" s="11"/>
      <c r="AB10" s="12"/>
      <c r="AC10" s="12"/>
      <c r="AD10" s="12"/>
    </row>
    <row r="11" customFormat="false" ht="34.5" hidden="false" customHeight="true" outlineLevel="0" collapsed="false">
      <c r="C11" s="14"/>
      <c r="D11" s="15" t="s">
        <v>8</v>
      </c>
      <c r="E11" s="15"/>
      <c r="F11" s="15"/>
      <c r="G11" s="15"/>
      <c r="H11" s="15"/>
      <c r="I11" s="16" t="s">
        <v>9</v>
      </c>
      <c r="J11" s="11"/>
      <c r="K11" s="17"/>
      <c r="L11" s="18" t="s">
        <v>10</v>
      </c>
      <c r="M11" s="18"/>
      <c r="N11" s="18"/>
      <c r="O11" s="18"/>
      <c r="P11" s="18"/>
      <c r="Q11" s="16" t="s">
        <v>9</v>
      </c>
      <c r="R11" s="11"/>
      <c r="S11" s="14"/>
      <c r="T11" s="15" t="s">
        <v>11</v>
      </c>
      <c r="U11" s="15"/>
      <c r="V11" s="15"/>
      <c r="W11" s="15"/>
      <c r="X11" s="15"/>
      <c r="Y11" s="16" t="s">
        <v>9</v>
      </c>
      <c r="Z11" s="11"/>
      <c r="AA11" s="14"/>
      <c r="AB11" s="19" t="s">
        <v>12</v>
      </c>
      <c r="AC11" s="19" t="s">
        <v>13</v>
      </c>
      <c r="AD11" s="19" t="s">
        <v>14</v>
      </c>
      <c r="AF11" s="20" t="s">
        <v>15</v>
      </c>
      <c r="AG11" s="20"/>
    </row>
    <row r="12" customFormat="false" ht="15.75" hidden="false" customHeight="false" outlineLevel="0" collapsed="false">
      <c r="C12" s="3" t="s">
        <v>16</v>
      </c>
      <c r="D12" s="4" t="n">
        <v>2060</v>
      </c>
      <c r="E12" s="4" t="n">
        <v>2053</v>
      </c>
      <c r="F12" s="4" t="n">
        <v>2055</v>
      </c>
      <c r="G12" s="4" t="n">
        <v>2054</v>
      </c>
      <c r="H12" s="4" t="n">
        <v>2056</v>
      </c>
      <c r="I12" s="21" t="n">
        <f aca="false">AVERAGE(D12:H12)</f>
        <v>2055.6</v>
      </c>
      <c r="J12" s="9"/>
      <c r="K12" s="3" t="s">
        <v>16</v>
      </c>
      <c r="L12" s="0" t="n">
        <v>3086</v>
      </c>
      <c r="M12" s="0" t="n">
        <v>3073</v>
      </c>
      <c r="N12" s="0" t="n">
        <v>3073</v>
      </c>
      <c r="O12" s="0" t="n">
        <v>3084</v>
      </c>
      <c r="P12" s="0" t="n">
        <v>3077</v>
      </c>
      <c r="Q12" s="21" t="n">
        <f aca="false">AVERAGE(L12:P12)</f>
        <v>3078.6</v>
      </c>
      <c r="R12" s="9"/>
      <c r="S12" s="3" t="s">
        <v>16</v>
      </c>
      <c r="T12" s="0" t="n">
        <v>3995</v>
      </c>
      <c r="U12" s="0" t="n">
        <v>4006</v>
      </c>
      <c r="V12" s="0" t="n">
        <v>4006</v>
      </c>
      <c r="W12" s="0" t="n">
        <v>4000</v>
      </c>
      <c r="X12" s="0" t="n">
        <v>4008</v>
      </c>
      <c r="Y12" s="21" t="n">
        <f aca="false">AVERAGE(T12:X12)</f>
        <v>4003</v>
      </c>
      <c r="Z12" s="9"/>
      <c r="AA12" s="3" t="s">
        <v>16</v>
      </c>
      <c r="AB12" s="22" t="n">
        <f aca="false">(M12-I12)/$D$4</f>
        <v>299.235294117647</v>
      </c>
      <c r="AC12" s="22" t="n">
        <f aca="false">(Y12-Q12)/($D$5-$D$4)</f>
        <v>302.091503267974</v>
      </c>
      <c r="AD12" s="23" t="n">
        <f aca="false">(AC12+AB12)/2</f>
        <v>300.66339869281</v>
      </c>
      <c r="AF12" s="3" t="s">
        <v>16</v>
      </c>
      <c r="AG12" s="24" t="n">
        <f aca="false">(AD12+AD24)/2</f>
        <v>301.485294117647</v>
      </c>
    </row>
    <row r="13" customFormat="false" ht="15.75" hidden="false" customHeight="false" outlineLevel="0" collapsed="false">
      <c r="C13" s="3" t="s">
        <v>17</v>
      </c>
      <c r="D13" s="4" t="n">
        <v>2055</v>
      </c>
      <c r="E13" s="4" t="n">
        <v>2053</v>
      </c>
      <c r="F13" s="4" t="n">
        <v>2058</v>
      </c>
      <c r="G13" s="4" t="n">
        <v>2053</v>
      </c>
      <c r="H13" s="4" t="n">
        <v>2052</v>
      </c>
      <c r="I13" s="21" t="n">
        <f aca="false">AVERAGE(D13:H13)</f>
        <v>2054.2</v>
      </c>
      <c r="J13" s="9"/>
      <c r="K13" s="3" t="s">
        <v>17</v>
      </c>
      <c r="L13" s="0" t="n">
        <v>3074</v>
      </c>
      <c r="M13" s="0" t="n">
        <v>3068</v>
      </c>
      <c r="N13" s="0" t="n">
        <v>3066</v>
      </c>
      <c r="O13" s="0" t="n">
        <v>3079</v>
      </c>
      <c r="P13" s="0" t="n">
        <v>3072</v>
      </c>
      <c r="Q13" s="21" t="n">
        <f aca="false">AVERAGE(L13:P13)</f>
        <v>3071.8</v>
      </c>
      <c r="R13" s="9"/>
      <c r="S13" s="3" t="s">
        <v>17</v>
      </c>
      <c r="T13" s="0" t="n">
        <v>3989</v>
      </c>
      <c r="U13" s="0" t="n">
        <v>3990</v>
      </c>
      <c r="V13" s="0" t="n">
        <v>3991</v>
      </c>
      <c r="W13" s="0" t="n">
        <v>3993</v>
      </c>
      <c r="X13" s="0" t="n">
        <v>3995</v>
      </c>
      <c r="Y13" s="21" t="n">
        <f aca="false">AVERAGE(T13:X13)</f>
        <v>3991.6</v>
      </c>
      <c r="Z13" s="9"/>
      <c r="AA13" s="3" t="s">
        <v>17</v>
      </c>
      <c r="AB13" s="22" t="n">
        <f aca="false">(M13-I13)/$D$4</f>
        <v>298.176470588235</v>
      </c>
      <c r="AC13" s="22" t="n">
        <f aca="false">(Y13-Q13)/($D$5-$D$4)</f>
        <v>300.588235294118</v>
      </c>
      <c r="AD13" s="23" t="n">
        <f aca="false">(AC13+AB13)/2</f>
        <v>299.382352941176</v>
      </c>
      <c r="AF13" s="3" t="s">
        <v>17</v>
      </c>
      <c r="AG13" s="24" t="n">
        <f aca="false">(AD13+AD25)/2</f>
        <v>300.267973856209</v>
      </c>
    </row>
    <row r="14" customFormat="false" ht="15.75" hidden="false" customHeight="false" outlineLevel="0" collapsed="false">
      <c r="C14" s="3" t="s">
        <v>18</v>
      </c>
      <c r="D14" s="4" t="n">
        <v>2067</v>
      </c>
      <c r="E14" s="4" t="n">
        <v>2065</v>
      </c>
      <c r="F14" s="4" t="n">
        <v>2064</v>
      </c>
      <c r="G14" s="4" t="n">
        <v>2065</v>
      </c>
      <c r="H14" s="4" t="n">
        <v>2064</v>
      </c>
      <c r="I14" s="21" t="n">
        <f aca="false">AVERAGE(D14:H14)</f>
        <v>2065</v>
      </c>
      <c r="J14" s="9"/>
      <c r="K14" s="3" t="s">
        <v>18</v>
      </c>
      <c r="L14" s="0" t="n">
        <v>3086</v>
      </c>
      <c r="M14" s="0" t="n">
        <v>3076</v>
      </c>
      <c r="N14" s="0" t="n">
        <v>3076</v>
      </c>
      <c r="O14" s="0" t="n">
        <v>3090</v>
      </c>
      <c r="P14" s="0" t="n">
        <v>3081</v>
      </c>
      <c r="Q14" s="21" t="n">
        <f aca="false">AVERAGE(L14:P14)</f>
        <v>3081.8</v>
      </c>
      <c r="R14" s="9"/>
      <c r="S14" s="3" t="s">
        <v>18</v>
      </c>
      <c r="T14" s="0" t="n">
        <v>3994</v>
      </c>
      <c r="U14" s="0" t="n">
        <v>3999</v>
      </c>
      <c r="V14" s="0" t="n">
        <v>4005</v>
      </c>
      <c r="W14" s="0" t="n">
        <v>3997</v>
      </c>
      <c r="X14" s="0" t="n">
        <v>4006</v>
      </c>
      <c r="Y14" s="21" t="n">
        <f aca="false">AVERAGE(T14:X14)</f>
        <v>4000.2</v>
      </c>
      <c r="Z14" s="9"/>
      <c r="AA14" s="3" t="s">
        <v>18</v>
      </c>
      <c r="AB14" s="22" t="n">
        <f aca="false">(M14-I14)/$D$4</f>
        <v>297.352941176471</v>
      </c>
      <c r="AC14" s="22" t="n">
        <f aca="false">(Y14-Q14)/($D$5-$D$4)</f>
        <v>300.130718954248</v>
      </c>
      <c r="AD14" s="23" t="n">
        <f aca="false">(AC14+AB14)/2</f>
        <v>298.741830065359</v>
      </c>
      <c r="AF14" s="3" t="s">
        <v>18</v>
      </c>
      <c r="AG14" s="24" t="n">
        <f aca="false">(AD14+AD26)/2</f>
        <v>299.952614379085</v>
      </c>
    </row>
    <row r="15" customFormat="false" ht="15.75" hidden="false" customHeight="false" outlineLevel="0" collapsed="false">
      <c r="C15" s="3" t="s">
        <v>19</v>
      </c>
      <c r="D15" s="4" t="n">
        <v>2064</v>
      </c>
      <c r="E15" s="4" t="n">
        <v>2066</v>
      </c>
      <c r="F15" s="4" t="n">
        <v>2068</v>
      </c>
      <c r="G15" s="4" t="n">
        <v>2062</v>
      </c>
      <c r="H15" s="4" t="n">
        <v>2067</v>
      </c>
      <c r="I15" s="21" t="n">
        <f aca="false">AVERAGE(D15:H15)</f>
        <v>2065.4</v>
      </c>
      <c r="J15" s="9"/>
      <c r="K15" s="3" t="s">
        <v>19</v>
      </c>
      <c r="L15" s="0" t="n">
        <v>3093</v>
      </c>
      <c r="M15" s="0" t="n">
        <v>3084</v>
      </c>
      <c r="N15" s="0" t="n">
        <v>3080</v>
      </c>
      <c r="O15" s="0" t="n">
        <v>3092</v>
      </c>
      <c r="P15" s="0" t="n">
        <v>3092</v>
      </c>
      <c r="Q15" s="21" t="n">
        <f aca="false">AVERAGE(L15:P15)</f>
        <v>3088.2</v>
      </c>
      <c r="R15" s="9"/>
      <c r="S15" s="3" t="s">
        <v>19</v>
      </c>
      <c r="T15" s="0" t="n">
        <v>4007</v>
      </c>
      <c r="U15" s="0" t="n">
        <v>4015</v>
      </c>
      <c r="V15" s="0" t="n">
        <v>4012</v>
      </c>
      <c r="W15" s="0" t="n">
        <v>4011</v>
      </c>
      <c r="X15" s="0" t="n">
        <v>4018</v>
      </c>
      <c r="Y15" s="21" t="n">
        <f aca="false">AVERAGE(T15:X15)</f>
        <v>4012.6</v>
      </c>
      <c r="Z15" s="9"/>
      <c r="AA15" s="3" t="s">
        <v>19</v>
      </c>
      <c r="AB15" s="22" t="n">
        <f aca="false">(M15-I15)/$D$4</f>
        <v>299.588235294118</v>
      </c>
      <c r="AC15" s="22" t="n">
        <f aca="false">(Y15-Q15)/($D$5-$D$4)</f>
        <v>302.091503267974</v>
      </c>
      <c r="AD15" s="23" t="n">
        <f aca="false">(AC15+AB15)/2</f>
        <v>300.839869281046</v>
      </c>
      <c r="AF15" s="3" t="s">
        <v>19</v>
      </c>
      <c r="AG15" s="24" t="n">
        <f aca="false">(AD15+AD27)/2</f>
        <v>301.93137254902</v>
      </c>
    </row>
    <row r="16" customFormat="false" ht="15.75" hidden="false" customHeight="false" outlineLevel="0" collapsed="false">
      <c r="C16" s="3" t="s">
        <v>20</v>
      </c>
      <c r="D16" s="4" t="n">
        <v>2058</v>
      </c>
      <c r="E16" s="4" t="n">
        <v>2052</v>
      </c>
      <c r="F16" s="4" t="n">
        <v>2053</v>
      </c>
      <c r="G16" s="4" t="n">
        <v>2053</v>
      </c>
      <c r="H16" s="4" t="n">
        <v>2056</v>
      </c>
      <c r="I16" s="21" t="n">
        <f aca="false">AVERAGE(D16:H16)</f>
        <v>2054.4</v>
      </c>
      <c r="J16" s="9"/>
      <c r="K16" s="3" t="s">
        <v>20</v>
      </c>
      <c r="L16" s="0" t="n">
        <v>3082</v>
      </c>
      <c r="M16" s="0" t="n">
        <v>3072</v>
      </c>
      <c r="N16" s="0" t="n">
        <v>3069</v>
      </c>
      <c r="O16" s="0" t="n">
        <v>3083</v>
      </c>
      <c r="P16" s="0" t="n">
        <v>3074</v>
      </c>
      <c r="Q16" s="21" t="n">
        <f aca="false">AVERAGE(L16:P16)</f>
        <v>3076</v>
      </c>
      <c r="R16" s="9"/>
      <c r="S16" s="3" t="s">
        <v>20</v>
      </c>
      <c r="T16" s="0" t="n">
        <v>3994</v>
      </c>
      <c r="U16" s="0" t="n">
        <v>3998</v>
      </c>
      <c r="V16" s="0" t="n">
        <v>3999</v>
      </c>
      <c r="W16" s="0" t="n">
        <v>3997</v>
      </c>
      <c r="X16" s="0" t="n">
        <v>3998</v>
      </c>
      <c r="Y16" s="21" t="n">
        <f aca="false">AVERAGE(T16:X16)</f>
        <v>3997.2</v>
      </c>
      <c r="Z16" s="9"/>
      <c r="AA16" s="3" t="s">
        <v>20</v>
      </c>
      <c r="AB16" s="22" t="n">
        <f aca="false">(M16-I16)/$D$4</f>
        <v>299.294117647059</v>
      </c>
      <c r="AC16" s="22" t="n">
        <f aca="false">(Y16-Q16)/($D$5-$D$4)</f>
        <v>301.045751633987</v>
      </c>
      <c r="AD16" s="23" t="n">
        <f aca="false">(AC16+AB16)/2</f>
        <v>300.169934640523</v>
      </c>
      <c r="AF16" s="3" t="s">
        <v>20</v>
      </c>
      <c r="AG16" s="24" t="n">
        <f aca="false">(AD16+AD28)/2</f>
        <v>301.106209150327</v>
      </c>
    </row>
    <row r="17" customFormat="false" ht="15.75" hidden="false" customHeight="false" outlineLevel="0" collapsed="false">
      <c r="C17" s="3" t="s">
        <v>21</v>
      </c>
      <c r="D17" s="4" t="n">
        <v>2055</v>
      </c>
      <c r="E17" s="4" t="n">
        <v>2062</v>
      </c>
      <c r="F17" s="4" t="n">
        <v>2079</v>
      </c>
      <c r="G17" s="4" t="n">
        <v>2069</v>
      </c>
      <c r="H17" s="4" t="n">
        <v>2062</v>
      </c>
      <c r="I17" s="21" t="n">
        <f aca="false">AVERAGE(D17:H17)</f>
        <v>2065.4</v>
      </c>
      <c r="J17" s="9"/>
      <c r="K17" s="3" t="s">
        <v>21</v>
      </c>
      <c r="L17" s="0" t="n">
        <v>3090</v>
      </c>
      <c r="M17" s="0" t="n">
        <v>3074</v>
      </c>
      <c r="N17" s="0" t="n">
        <v>3078</v>
      </c>
      <c r="O17" s="0" t="n">
        <v>3087</v>
      </c>
      <c r="P17" s="0" t="n">
        <v>3103</v>
      </c>
      <c r="Q17" s="21" t="n">
        <f aca="false">AVERAGE(L17:P17)</f>
        <v>3086.4</v>
      </c>
      <c r="R17" s="9"/>
      <c r="S17" s="3" t="s">
        <v>21</v>
      </c>
      <c r="T17" s="0" t="n">
        <v>4003</v>
      </c>
      <c r="U17" s="0" t="n">
        <v>4004</v>
      </c>
      <c r="V17" s="0" t="n">
        <v>4015</v>
      </c>
      <c r="W17" s="0" t="n">
        <v>4010</v>
      </c>
      <c r="X17" s="0" t="n">
        <v>3997</v>
      </c>
      <c r="Y17" s="21" t="n">
        <f aca="false">AVERAGE(T17:X17)</f>
        <v>4005.8</v>
      </c>
      <c r="Z17" s="9"/>
      <c r="AA17" s="3" t="s">
        <v>21</v>
      </c>
      <c r="AB17" s="22" t="n">
        <f aca="false">(M17-I17)/$D$4</f>
        <v>296.647058823529</v>
      </c>
      <c r="AC17" s="22" t="n">
        <f aca="false">(Y17-Q17)/($D$5-$D$4)</f>
        <v>300.457516339869</v>
      </c>
      <c r="AD17" s="23" t="n">
        <f aca="false">(AC17+AB17)/2</f>
        <v>298.552287581699</v>
      </c>
      <c r="AF17" s="3" t="s">
        <v>21</v>
      </c>
      <c r="AG17" s="24" t="n">
        <f aca="false">(AD17+AD29)/2</f>
        <v>299.934640522876</v>
      </c>
    </row>
    <row r="18" customFormat="false" ht="15.75" hidden="false" customHeight="false" outlineLevel="0" collapsed="false">
      <c r="AF18" s="25"/>
      <c r="AG18" s="26"/>
    </row>
    <row r="19" customFormat="false" ht="15.75" hidden="false" customHeight="false" outlineLevel="0" collapsed="false">
      <c r="AF19" s="25"/>
      <c r="AG19" s="26"/>
    </row>
    <row r="20" customFormat="false" ht="15.75" hidden="false" customHeight="false" outlineLevel="0" collapsed="false">
      <c r="AF20" s="25"/>
      <c r="AG20" s="26"/>
    </row>
    <row r="21" customFormat="false" ht="27" hidden="false" customHeight="true" outlineLevel="0" collapsed="false">
      <c r="C21" s="8" t="s">
        <v>22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  <c r="AB21" s="10" t="s">
        <v>7</v>
      </c>
      <c r="AC21" s="10"/>
      <c r="AD21" s="10"/>
      <c r="AF21" s="25"/>
      <c r="AG21" s="26"/>
    </row>
    <row r="22" customFormat="false" ht="15.75" hidden="false" customHeight="false" outlineLevel="0" collapsed="false">
      <c r="C22" s="11"/>
      <c r="D22" s="12"/>
      <c r="E22" s="12"/>
      <c r="F22" s="12"/>
      <c r="G22" s="12"/>
      <c r="H22" s="12"/>
      <c r="I22" s="13"/>
      <c r="J22" s="11"/>
      <c r="K22" s="11"/>
      <c r="L22" s="13"/>
      <c r="M22" s="13"/>
      <c r="N22" s="13"/>
      <c r="O22" s="13"/>
      <c r="P22" s="13"/>
      <c r="Q22" s="13"/>
      <c r="R22" s="11"/>
      <c r="S22" s="11"/>
      <c r="T22" s="12"/>
      <c r="U22" s="12"/>
      <c r="V22" s="12"/>
      <c r="W22" s="12"/>
      <c r="X22" s="12"/>
      <c r="Y22" s="13"/>
      <c r="Z22" s="11"/>
      <c r="AA22" s="11"/>
      <c r="AB22" s="12"/>
      <c r="AC22" s="12"/>
      <c r="AD22" s="12"/>
    </row>
    <row r="23" customFormat="false" ht="15.75" hidden="false" customHeight="true" outlineLevel="0" collapsed="false">
      <c r="C23" s="14"/>
      <c r="D23" s="15" t="s">
        <v>8</v>
      </c>
      <c r="E23" s="15"/>
      <c r="F23" s="15"/>
      <c r="G23" s="15"/>
      <c r="H23" s="15"/>
      <c r="I23" s="16" t="s">
        <v>9</v>
      </c>
      <c r="J23" s="11"/>
      <c r="K23" s="17"/>
      <c r="L23" s="18" t="s">
        <v>10</v>
      </c>
      <c r="M23" s="18"/>
      <c r="N23" s="18"/>
      <c r="O23" s="18"/>
      <c r="P23" s="18"/>
      <c r="Q23" s="16" t="s">
        <v>9</v>
      </c>
      <c r="R23" s="11"/>
      <c r="S23" s="14"/>
      <c r="T23" s="15" t="s">
        <v>11</v>
      </c>
      <c r="U23" s="15"/>
      <c r="V23" s="15"/>
      <c r="W23" s="15"/>
      <c r="X23" s="15"/>
      <c r="Y23" s="16" t="s">
        <v>9</v>
      </c>
      <c r="Z23" s="11"/>
      <c r="AA23" s="14"/>
      <c r="AB23" s="19" t="s">
        <v>12</v>
      </c>
      <c r="AC23" s="19" t="s">
        <v>13</v>
      </c>
      <c r="AD23" s="19" t="s">
        <v>14</v>
      </c>
    </row>
    <row r="24" customFormat="false" ht="15.75" hidden="false" customHeight="false" outlineLevel="0" collapsed="false">
      <c r="C24" s="3" t="s">
        <v>16</v>
      </c>
      <c r="D24" s="4" t="n">
        <v>2060</v>
      </c>
      <c r="E24" s="4" t="n">
        <v>2053</v>
      </c>
      <c r="F24" s="4" t="n">
        <v>2055</v>
      </c>
      <c r="G24" s="4" t="n">
        <v>2054</v>
      </c>
      <c r="H24" s="4" t="n">
        <v>2056</v>
      </c>
      <c r="I24" s="21" t="n">
        <f aca="false">AVERAGE(D24:H24)</f>
        <v>2055.6</v>
      </c>
      <c r="J24" s="9"/>
      <c r="K24" s="3" t="s">
        <v>16</v>
      </c>
      <c r="L24" s="0" t="n">
        <v>1025</v>
      </c>
      <c r="M24" s="0" t="n">
        <v>1023</v>
      </c>
      <c r="N24" s="0" t="n">
        <v>1028</v>
      </c>
      <c r="O24" s="0" t="n">
        <v>1027</v>
      </c>
      <c r="P24" s="0" t="n">
        <v>1031</v>
      </c>
      <c r="Q24" s="21" t="n">
        <f aca="false">AVERAGE(L24:P24)</f>
        <v>1026.8</v>
      </c>
      <c r="R24" s="9"/>
      <c r="S24" s="3" t="s">
        <v>16</v>
      </c>
      <c r="T24" s="0" t="n">
        <v>101</v>
      </c>
      <c r="U24" s="0" t="n">
        <v>97</v>
      </c>
      <c r="V24" s="0" t="n">
        <v>109</v>
      </c>
      <c r="W24" s="0" t="n">
        <v>98</v>
      </c>
      <c r="X24" s="0" t="n">
        <v>108</v>
      </c>
      <c r="Y24" s="21" t="n">
        <f aca="false">AVERAGE(T24:X24)</f>
        <v>102.6</v>
      </c>
      <c r="Z24" s="9"/>
      <c r="AA24" s="3" t="s">
        <v>16</v>
      </c>
      <c r="AB24" s="22" t="n">
        <f aca="false">(I24-Q24)/$D$4</f>
        <v>302.588235294118</v>
      </c>
      <c r="AC24" s="22" t="n">
        <f aca="false">-(Q24-Y24)/($D$4-$D$5)</f>
        <v>302.02614379085</v>
      </c>
      <c r="AD24" s="23" t="n">
        <f aca="false">(AC24+AB24)/2</f>
        <v>302.307189542484</v>
      </c>
    </row>
    <row r="25" customFormat="false" ht="15.75" hidden="false" customHeight="false" outlineLevel="0" collapsed="false">
      <c r="C25" s="3" t="s">
        <v>17</v>
      </c>
      <c r="D25" s="4" t="n">
        <v>2055</v>
      </c>
      <c r="E25" s="4" t="n">
        <v>2053</v>
      </c>
      <c r="F25" s="4" t="n">
        <v>2058</v>
      </c>
      <c r="G25" s="4" t="n">
        <v>2053</v>
      </c>
      <c r="H25" s="4" t="n">
        <v>2052</v>
      </c>
      <c r="I25" s="21" t="n">
        <f aca="false">AVERAGE(D25:H25)</f>
        <v>2054.2</v>
      </c>
      <c r="J25" s="9"/>
      <c r="K25" s="3" t="s">
        <v>17</v>
      </c>
      <c r="L25" s="0" t="n">
        <v>1028</v>
      </c>
      <c r="M25" s="0" t="n">
        <v>1023</v>
      </c>
      <c r="N25" s="0" t="n">
        <v>1030</v>
      </c>
      <c r="O25" s="0" t="n">
        <v>1029</v>
      </c>
      <c r="P25" s="0" t="n">
        <v>1034</v>
      </c>
      <c r="Q25" s="21" t="n">
        <f aca="false">AVERAGE(L25:P25)</f>
        <v>1028.8</v>
      </c>
      <c r="R25" s="9"/>
      <c r="S25" s="3" t="s">
        <v>17</v>
      </c>
      <c r="T25" s="0" t="n">
        <v>104</v>
      </c>
      <c r="U25" s="0" t="n">
        <v>104</v>
      </c>
      <c r="V25" s="0" t="n">
        <v>117</v>
      </c>
      <c r="W25" s="0" t="n">
        <v>104</v>
      </c>
      <c r="X25" s="0" t="n">
        <v>114</v>
      </c>
      <c r="Y25" s="21" t="n">
        <f aca="false">AVERAGE(T25:X25)</f>
        <v>108.6</v>
      </c>
      <c r="Z25" s="9"/>
      <c r="AA25" s="3" t="s">
        <v>17</v>
      </c>
      <c r="AB25" s="22" t="n">
        <f aca="false">(I25-Q25)/$D$4</f>
        <v>301.588235294118</v>
      </c>
      <c r="AC25" s="22" t="n">
        <f aca="false">-(Q25-Y25)/($D$4-$D$5)</f>
        <v>300.718954248366</v>
      </c>
      <c r="AD25" s="23" t="n">
        <f aca="false">(AC25+AB25)/2</f>
        <v>301.153594771242</v>
      </c>
    </row>
    <row r="26" customFormat="false" ht="15.75" hidden="false" customHeight="false" outlineLevel="0" collapsed="false">
      <c r="C26" s="3" t="s">
        <v>18</v>
      </c>
      <c r="D26" s="4" t="n">
        <v>2067</v>
      </c>
      <c r="E26" s="4" t="n">
        <v>2065</v>
      </c>
      <c r="F26" s="4" t="n">
        <v>2064</v>
      </c>
      <c r="G26" s="4" t="n">
        <v>2065</v>
      </c>
      <c r="H26" s="4" t="n">
        <v>2064</v>
      </c>
      <c r="I26" s="21" t="n">
        <f aca="false">AVERAGE(D26:H26)</f>
        <v>2065</v>
      </c>
      <c r="J26" s="9"/>
      <c r="K26" s="3" t="s">
        <v>18</v>
      </c>
      <c r="L26" s="0" t="n">
        <v>1041</v>
      </c>
      <c r="M26" s="0" t="n">
        <v>1035</v>
      </c>
      <c r="N26" s="0" t="n">
        <v>1039</v>
      </c>
      <c r="O26" s="0" t="n">
        <v>1037</v>
      </c>
      <c r="P26" s="0" t="n">
        <v>1039</v>
      </c>
      <c r="Q26" s="21" t="n">
        <f aca="false">AVERAGE(L26:P26)</f>
        <v>1038.2</v>
      </c>
      <c r="R26" s="9"/>
      <c r="S26" s="3" t="s">
        <v>18</v>
      </c>
      <c r="T26" s="0" t="n">
        <v>117</v>
      </c>
      <c r="U26" s="0" t="n">
        <v>114</v>
      </c>
      <c r="V26" s="0" t="n">
        <v>127</v>
      </c>
      <c r="W26" s="0" t="n">
        <v>116</v>
      </c>
      <c r="X26" s="0" t="n">
        <v>122</v>
      </c>
      <c r="Y26" s="21" t="n">
        <f aca="false">AVERAGE(T26:X26)</f>
        <v>119.2</v>
      </c>
      <c r="Z26" s="9"/>
      <c r="AA26" s="3" t="s">
        <v>18</v>
      </c>
      <c r="AB26" s="22" t="n">
        <f aca="false">(I26-Q26)/$D$4</f>
        <v>302</v>
      </c>
      <c r="AC26" s="22" t="n">
        <f aca="false">-(Q26-Y26)/($D$4-$D$5)</f>
        <v>300.326797385621</v>
      </c>
      <c r="AD26" s="23" t="n">
        <f aca="false">(AC26+AB26)/2</f>
        <v>301.16339869281</v>
      </c>
    </row>
    <row r="27" customFormat="false" ht="15.75" hidden="false" customHeight="false" outlineLevel="0" collapsed="false">
      <c r="C27" s="3" t="s">
        <v>19</v>
      </c>
      <c r="D27" s="4" t="n">
        <v>2064</v>
      </c>
      <c r="E27" s="4" t="n">
        <v>2066</v>
      </c>
      <c r="F27" s="4" t="n">
        <v>2068</v>
      </c>
      <c r="G27" s="4" t="n">
        <v>2062</v>
      </c>
      <c r="H27" s="4" t="n">
        <v>2067</v>
      </c>
      <c r="I27" s="21" t="n">
        <f aca="false">AVERAGE(D27:H27)</f>
        <v>2065.4</v>
      </c>
      <c r="J27" s="9"/>
      <c r="K27" s="3" t="s">
        <v>19</v>
      </c>
      <c r="L27" s="0" t="n">
        <v>1032</v>
      </c>
      <c r="M27" s="0" t="n">
        <v>1030</v>
      </c>
      <c r="N27" s="0" t="n">
        <v>1028</v>
      </c>
      <c r="O27" s="0" t="n">
        <v>1032</v>
      </c>
      <c r="P27" s="0" t="n">
        <v>1040</v>
      </c>
      <c r="Q27" s="21" t="n">
        <f aca="false">AVERAGE(L27:P27)</f>
        <v>1032.4</v>
      </c>
      <c r="R27" s="9"/>
      <c r="S27" s="3" t="s">
        <v>19</v>
      </c>
      <c r="T27" s="0" t="n">
        <v>105</v>
      </c>
      <c r="U27" s="0" t="n">
        <v>103</v>
      </c>
      <c r="V27" s="0" t="n">
        <v>117</v>
      </c>
      <c r="W27" s="0" t="n">
        <v>102</v>
      </c>
      <c r="X27" s="0" t="n">
        <v>111</v>
      </c>
      <c r="Y27" s="21" t="n">
        <f aca="false">AVERAGE(T27:X27)</f>
        <v>107.6</v>
      </c>
      <c r="Z27" s="9"/>
      <c r="AA27" s="3" t="s">
        <v>19</v>
      </c>
      <c r="AB27" s="22" t="n">
        <f aca="false">(I27-Q27)/$D$4</f>
        <v>303.823529411765</v>
      </c>
      <c r="AC27" s="22" t="n">
        <f aca="false">-(Q27-Y27)/($D$4-$D$5)</f>
        <v>302.222222222222</v>
      </c>
      <c r="AD27" s="23" t="n">
        <f aca="false">(AC27+AB27)/2</f>
        <v>303.022875816993</v>
      </c>
    </row>
    <row r="28" customFormat="false" ht="15.75" hidden="false" customHeight="false" outlineLevel="0" collapsed="false">
      <c r="C28" s="3" t="s">
        <v>20</v>
      </c>
      <c r="D28" s="4" t="n">
        <v>2058</v>
      </c>
      <c r="E28" s="4" t="n">
        <v>2052</v>
      </c>
      <c r="F28" s="4" t="n">
        <v>2053</v>
      </c>
      <c r="G28" s="4" t="n">
        <v>2053</v>
      </c>
      <c r="H28" s="4" t="n">
        <v>2056</v>
      </c>
      <c r="I28" s="21" t="n">
        <f aca="false">AVERAGE(D28:H28)</f>
        <v>2054.4</v>
      </c>
      <c r="J28" s="9"/>
      <c r="K28" s="3" t="s">
        <v>20</v>
      </c>
      <c r="L28" s="0" t="n">
        <v>1029</v>
      </c>
      <c r="M28" s="0" t="n">
        <v>1026</v>
      </c>
      <c r="N28" s="0" t="n">
        <v>1027</v>
      </c>
      <c r="O28" s="0" t="n">
        <v>1026</v>
      </c>
      <c r="P28" s="0" t="n">
        <v>1029</v>
      </c>
      <c r="Q28" s="21" t="n">
        <f aca="false">AVERAGE(L28:P28)</f>
        <v>1027.4</v>
      </c>
      <c r="R28" s="9"/>
      <c r="S28" s="3" t="s">
        <v>20</v>
      </c>
      <c r="T28" s="0" t="n">
        <v>100</v>
      </c>
      <c r="U28" s="0" t="n">
        <v>101</v>
      </c>
      <c r="V28" s="0" t="n">
        <v>108</v>
      </c>
      <c r="W28" s="0" t="n">
        <v>100</v>
      </c>
      <c r="X28" s="0" t="n">
        <v>107</v>
      </c>
      <c r="Y28" s="21" t="n">
        <f aca="false">AVERAGE(T28:X28)</f>
        <v>103.2</v>
      </c>
      <c r="Z28" s="9"/>
      <c r="AA28" s="3" t="s">
        <v>20</v>
      </c>
      <c r="AB28" s="22" t="n">
        <f aca="false">(I28-Q28)/$D$4</f>
        <v>302.058823529412</v>
      </c>
      <c r="AC28" s="22" t="n">
        <f aca="false">-(Q28-Y28)/($D$4-$D$5)</f>
        <v>302.02614379085</v>
      </c>
      <c r="AD28" s="23" t="n">
        <f aca="false">(AC28+AB28)/2</f>
        <v>302.042483660131</v>
      </c>
    </row>
    <row r="29" customFormat="false" ht="15.75" hidden="false" customHeight="false" outlineLevel="0" collapsed="false">
      <c r="C29" s="3" t="s">
        <v>21</v>
      </c>
      <c r="D29" s="4" t="n">
        <v>2055</v>
      </c>
      <c r="E29" s="4" t="n">
        <v>2062</v>
      </c>
      <c r="F29" s="4" t="n">
        <v>2079</v>
      </c>
      <c r="G29" s="4" t="n">
        <v>2069</v>
      </c>
      <c r="H29" s="4" t="n">
        <v>2062</v>
      </c>
      <c r="I29" s="21" t="n">
        <f aca="false">AVERAGE(D29:H29)</f>
        <v>2065.4</v>
      </c>
      <c r="J29" s="9"/>
      <c r="K29" s="3" t="s">
        <v>21</v>
      </c>
      <c r="L29" s="0" t="n">
        <v>1034</v>
      </c>
      <c r="M29" s="0" t="n">
        <v>1033</v>
      </c>
      <c r="N29" s="0" t="n">
        <v>1038</v>
      </c>
      <c r="O29" s="0" t="n">
        <v>1026</v>
      </c>
      <c r="P29" s="0" t="n">
        <v>1039</v>
      </c>
      <c r="Q29" s="21" t="n">
        <f aca="false">AVERAGE(L29:P29)</f>
        <v>1034</v>
      </c>
      <c r="R29" s="9"/>
      <c r="S29" s="3" t="s">
        <v>21</v>
      </c>
      <c r="T29" s="0" t="n">
        <v>127</v>
      </c>
      <c r="U29" s="0" t="n">
        <v>108</v>
      </c>
      <c r="V29" s="0" t="n">
        <v>130</v>
      </c>
      <c r="W29" s="0" t="n">
        <v>106</v>
      </c>
      <c r="X29" s="0" t="n">
        <v>120</v>
      </c>
      <c r="Y29" s="21" t="n">
        <f aca="false">AVERAGE(T29:X29)</f>
        <v>118.2</v>
      </c>
      <c r="Z29" s="9"/>
      <c r="AA29" s="3" t="s">
        <v>21</v>
      </c>
      <c r="AB29" s="22" t="n">
        <f aca="false">(I29-Q29)/$D$4</f>
        <v>303.352941176471</v>
      </c>
      <c r="AC29" s="22" t="n">
        <f aca="false">-(Q29-Y29)/($D$4-$D$5)</f>
        <v>299.281045751634</v>
      </c>
      <c r="AD29" s="23" t="n">
        <f aca="false">(AC29+AB29)/2</f>
        <v>301.316993464052</v>
      </c>
    </row>
  </sheetData>
  <mergeCells count="11">
    <mergeCell ref="C9:Z9"/>
    <mergeCell ref="AB9:AD9"/>
    <mergeCell ref="D11:H11"/>
    <mergeCell ref="L11:P11"/>
    <mergeCell ref="T11:X11"/>
    <mergeCell ref="AF11:AG11"/>
    <mergeCell ref="C21:Z21"/>
    <mergeCell ref="AB21:AD21"/>
    <mergeCell ref="D23:H23"/>
    <mergeCell ref="L23:P23"/>
    <mergeCell ref="T23:X2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LibreOffice/7.0.0.3$Windows_X86_64 LibreOffice_project/8061b3e9204bef6b321a21033174034a5e2ea88e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2025-08-06T22:11:54Z</dcterms:created>
  <dc:creator>Gabriel Guardia</dc:creator>
  <dc:description/>
  <dc:language>es-ES</dc:language>
  <cp:lastModifiedBy/>
  <dcterms:modified xsi:type="dcterms:W3CDTF">2026-02-20T18:56:05Z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