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nsión" sheetId="1" state="visible" r:id="rId2"/>
    <sheet name="Pines" sheetId="2" state="visible" r:id="rId3"/>
    <sheet name="Hoja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<sst xmlns="http://schemas.openxmlformats.org/spreadsheetml/2006/main" count="554" uniqueCount="269">
  <si>
    <t xml:space="preserve">R,S,T</t>
  </si>
  <si>
    <t xml:space="preserve">U,V,W</t>
  </si>
  <si>
    <t xml:space="preserve">Bus 1</t>
  </si>
  <si>
    <t xml:space="preserve">Bus 2</t>
  </si>
  <si>
    <t xml:space="preserve">50 % [V]</t>
  </si>
  <si>
    <t xml:space="preserve">95 % [V]</t>
  </si>
  <si>
    <t xml:space="preserve">100 % [V]</t>
  </si>
  <si>
    <t xml:space="preserve">Resolución [V/cuenta]</t>
  </si>
  <si>
    <t xml:space="preserve">Medición de tensión positiva</t>
  </si>
  <si>
    <t xml:space="preserve">Constantes de escala positiva</t>
  </si>
  <si>
    <t xml:space="preserve">promedio</t>
  </si>
  <si>
    <t xml:space="preserve">k1</t>
  </si>
  <si>
    <t xml:space="preserve">k2</t>
  </si>
  <si>
    <t xml:space="preserve">kprom</t>
  </si>
  <si>
    <t xml:space="preserve">r</t>
  </si>
  <si>
    <t xml:space="preserve">R</t>
  </si>
  <si>
    <t xml:space="preserve">s</t>
  </si>
  <si>
    <t xml:space="preserve">S</t>
  </si>
  <si>
    <t xml:space="preserve">t</t>
  </si>
  <si>
    <t xml:space="preserve">T</t>
  </si>
  <si>
    <t xml:space="preserve">bus1</t>
  </si>
  <si>
    <t xml:space="preserve">bus</t>
  </si>
  <si>
    <t xml:space="preserve">BUS 1</t>
  </si>
  <si>
    <t xml:space="preserve">u</t>
  </si>
  <si>
    <t xml:space="preserve">U</t>
  </si>
  <si>
    <t xml:space="preserve">v</t>
  </si>
  <si>
    <t xml:space="preserve">V</t>
  </si>
  <si>
    <t xml:space="preserve">w</t>
  </si>
  <si>
    <t xml:space="preserve">W</t>
  </si>
  <si>
    <t xml:space="preserve">Constantes de escala promedio</t>
  </si>
  <si>
    <t xml:space="preserve">bus2</t>
  </si>
  <si>
    <t xml:space="preserve">BUS 2</t>
  </si>
  <si>
    <t xml:space="preserve">dY</t>
  </si>
  <si>
    <t xml:space="preserve">Y</t>
  </si>
  <si>
    <t xml:space="preserve">dZ</t>
  </si>
  <si>
    <t xml:space="preserve">Z</t>
  </si>
  <si>
    <t xml:space="preserve">Medición de tensión negativa</t>
  </si>
  <si>
    <t xml:space="preserve">Constantes de escala negativa</t>
  </si>
  <si>
    <t xml:space="preserve">6,8A</t>
  </si>
  <si>
    <t xml:space="preserve">bornera de continua comparte neutro con borne negativo</t>
  </si>
  <si>
    <t xml:space="preserve">Nombre</t>
  </si>
  <si>
    <t xml:space="preserve">GPIO</t>
  </si>
  <si>
    <t xml:space="preserve">Pin</t>
  </si>
  <si>
    <t xml:space="preserve">Borne X1</t>
  </si>
  <si>
    <t xml:space="preserve">Nombre en placa</t>
  </si>
  <si>
    <t xml:space="preserve">Descripcion</t>
  </si>
  <si>
    <t xml:space="preserve">Medicion</t>
  </si>
  <si>
    <t xml:space="preserve">ADC</t>
  </si>
  <si>
    <t xml:space="preserve">CAC1</t>
  </si>
  <si>
    <t xml:space="preserve">ISO-GPI3</t>
  </si>
  <si>
    <t xml:space="preserve">Estado contactor AC</t>
  </si>
  <si>
    <t xml:space="preserve">U-V</t>
  </si>
  <si>
    <t xml:space="preserve">B0</t>
  </si>
  <si>
    <t xml:space="preserve">CDC1</t>
  </si>
  <si>
    <t xml:space="preserve">CONV1-OUT1</t>
  </si>
  <si>
    <t xml:space="preserve">Estado coctactor DC</t>
  </si>
  <si>
    <t xml:space="preserve">V-V</t>
  </si>
  <si>
    <t xml:space="preserve">B1</t>
  </si>
  <si>
    <t xml:space="preserve">QAC1</t>
  </si>
  <si>
    <t xml:space="preserve">ISO-GPI2</t>
  </si>
  <si>
    <t xml:space="preserve">Estado termica AC</t>
  </si>
  <si>
    <t xml:space="preserve">W-V</t>
  </si>
  <si>
    <t xml:space="preserve">B2</t>
  </si>
  <si>
    <t xml:space="preserve">QDC1</t>
  </si>
  <si>
    <t xml:space="preserve">ISO-GPI1</t>
  </si>
  <si>
    <t xml:space="preserve">Estado termica DC</t>
  </si>
  <si>
    <t xml:space="preserve">BUS-V</t>
  </si>
  <si>
    <t xml:space="preserve">B3</t>
  </si>
  <si>
    <t xml:space="preserve">KIN1</t>
  </si>
  <si>
    <t xml:space="preserve">ISO-GPO3</t>
  </si>
  <si>
    <t xml:space="preserve">Activo Contactor AC</t>
  </si>
  <si>
    <t xml:space="preserve">R-V</t>
  </si>
  <si>
    <t xml:space="preserve">B4</t>
  </si>
  <si>
    <t xml:space="preserve">KIN2</t>
  </si>
  <si>
    <t xml:space="preserve">ISO-GPO2</t>
  </si>
  <si>
    <t xml:space="preserve">Activo Contactor DC</t>
  </si>
  <si>
    <t xml:space="preserve">S-V</t>
  </si>
  <si>
    <t xml:space="preserve">B5</t>
  </si>
  <si>
    <t xml:space="preserve">KIN3</t>
  </si>
  <si>
    <t xml:space="preserve">ISO-GPO1</t>
  </si>
  <si>
    <t xml:space="preserve">PS IPM</t>
  </si>
  <si>
    <t xml:space="preserve">T-V</t>
  </si>
  <si>
    <t xml:space="preserve">B6</t>
  </si>
  <si>
    <t xml:space="preserve">KIN4</t>
  </si>
  <si>
    <t xml:space="preserve">PWM2T-H</t>
  </si>
  <si>
    <t xml:space="preserve">Activo Rele AC y DC</t>
  </si>
  <si>
    <t xml:space="preserve">B7</t>
  </si>
  <si>
    <t xml:space="preserve">Y-V</t>
  </si>
  <si>
    <t xml:space="preserve">B8</t>
  </si>
  <si>
    <t xml:space="preserve">Z-V</t>
  </si>
  <si>
    <t xml:space="preserve">B9</t>
  </si>
  <si>
    <t xml:space="preserve">MODULO DE RELES</t>
  </si>
  <si>
    <t xml:space="preserve">ACTIVO</t>
  </si>
  <si>
    <t xml:space="preserve">KAC1</t>
  </si>
  <si>
    <t xml:space="preserve">KDC1</t>
  </si>
  <si>
    <t xml:space="preserve">KIPM1</t>
  </si>
  <si>
    <t xml:space="preserve">Uv</t>
  </si>
  <si>
    <t xml:space="preserve">-4.77021885</t>
  </si>
  <si>
    <t xml:space="preserve">-4.9009099</t>
  </si>
  <si>
    <t xml:space="preserve">-4.83556461</t>
  </si>
  <si>
    <t xml:space="preserve">Vv</t>
  </si>
  <si>
    <t xml:space="preserve">-5.30416012</t>
  </si>
  <si>
    <t xml:space="preserve">-5.10525417</t>
  </si>
  <si>
    <t xml:space="preserve">-5.1711556</t>
  </si>
  <si>
    <t xml:space="preserve">-5.2378583</t>
  </si>
  <si>
    <t xml:space="preserve">Wv</t>
  </si>
  <si>
    <t xml:space="preserve">-5.10884142</t>
  </si>
  <si>
    <t xml:space="preserve">-5.17518997</t>
  </si>
  <si>
    <t xml:space="preserve">-4.97614431</t>
  </si>
  <si>
    <t xml:space="preserve">-5.04249287</t>
  </si>
  <si>
    <t xml:space="preserve">Rv</t>
  </si>
  <si>
    <t xml:space="preserve">-5.10036755</t>
  </si>
  <si>
    <t xml:space="preserve">-5.02190018</t>
  </si>
  <si>
    <t xml:space="preserve">-4.82573223</t>
  </si>
  <si>
    <t xml:space="preserve">-5.06113386</t>
  </si>
  <si>
    <t xml:space="preserve">-4.9434281</t>
  </si>
  <si>
    <t xml:space="preserve">-4.9826649</t>
  </si>
  <si>
    <t xml:space="preserve">-4.9041996</t>
  </si>
  <si>
    <t xml:space="preserve">Tv</t>
  </si>
  <si>
    <t xml:space="preserve">-4.96274424</t>
  </si>
  <si>
    <t xml:space="preserve">-5.11905146</t>
  </si>
  <si>
    <t xml:space="preserve">-4.92366743</t>
  </si>
  <si>
    <t xml:space="preserve">-5.00182104</t>
  </si>
  <si>
    <t xml:space="preserve">-5.04098785</t>
  </si>
  <si>
    <t xml:space="preserve">-5.15812778</t>
  </si>
  <si>
    <t xml:space="preserve">-4.8455143</t>
  </si>
  <si>
    <t xml:space="preserve">Sv</t>
  </si>
  <si>
    <t xml:space="preserve">-5.07291317</t>
  </si>
  <si>
    <t xml:space="preserve">-5.11193562</t>
  </si>
  <si>
    <t xml:space="preserve">-4.99486288</t>
  </si>
  <si>
    <t xml:space="preserve">-5.03389072</t>
  </si>
  <si>
    <t xml:space="preserve">-5.34606981</t>
  </si>
  <si>
    <t xml:space="preserve">-4.91682339</t>
  </si>
  <si>
    <t xml:space="preserve">-9.86716557</t>
  </si>
  <si>
    <t xml:space="preserve">-9.99785614</t>
  </si>
  <si>
    <t xml:space="preserve">-9.93251038</t>
  </si>
  <si>
    <t xml:space="preserve">-10.4757166</t>
  </si>
  <si>
    <t xml:space="preserve">-10.4094143</t>
  </si>
  <si>
    <t xml:space="preserve">-10.343112</t>
  </si>
  <si>
    <t xml:space="preserve">-10.2768106</t>
  </si>
  <si>
    <t xml:space="preserve">-10.1513338</t>
  </si>
  <si>
    <t xml:space="preserve">-10.0849857</t>
  </si>
  <si>
    <t xml:space="preserve">-10.018367</t>
  </si>
  <si>
    <t xml:space="preserve">-10.0830336</t>
  </si>
  <si>
    <t xml:space="preserve">-10.0438004</t>
  </si>
  <si>
    <t xml:space="preserve">-10.0045671</t>
  </si>
  <si>
    <t xml:space="preserve">-9.96533298</t>
  </si>
  <si>
    <t xml:space="preserve">-10.1222677</t>
  </si>
  <si>
    <t xml:space="preserve">-10.1599493</t>
  </si>
  <si>
    <t xml:space="preserve">-10.0817957</t>
  </si>
  <si>
    <t xml:space="preserve">-10.0036421</t>
  </si>
  <si>
    <t xml:space="preserve">-10.2771788</t>
  </si>
  <si>
    <t xml:space="preserve">-10.1208725</t>
  </si>
  <si>
    <t xml:space="preserve">-10.1990261</t>
  </si>
  <si>
    <t xml:space="preserve">-10.1848488</t>
  </si>
  <si>
    <t xml:space="preserve">-10.0677814</t>
  </si>
  <si>
    <t xml:space="preserve">-9.95071411</t>
  </si>
  <si>
    <t xml:space="preserve">-10.028759</t>
  </si>
  <si>
    <t xml:space="preserve">-10.1458263</t>
  </si>
  <si>
    <t xml:space="preserve">-49.9239349</t>
  </si>
  <si>
    <t xml:space="preserve">-49.8585892</t>
  </si>
  <si>
    <t xml:space="preserve">-51.0525398</t>
  </si>
  <si>
    <t xml:space="preserve">-50.9862404</t>
  </si>
  <si>
    <t xml:space="preserve">-51.1188431</t>
  </si>
  <si>
    <t xml:space="preserve">-50.1595345</t>
  </si>
  <si>
    <t xml:space="preserve">-50.2922325</t>
  </si>
  <si>
    <t xml:space="preserve">-50.0931854</t>
  </si>
  <si>
    <t xml:space="preserve">-50.2258835</t>
  </si>
  <si>
    <t xml:space="preserve">-50.1012993</t>
  </si>
  <si>
    <t xml:space="preserve">-50.1405334</t>
  </si>
  <si>
    <t xml:space="preserve">-50.0228348</t>
  </si>
  <si>
    <t xml:space="preserve">-49.9051323</t>
  </si>
  <si>
    <t xml:space="preserve">-49.9836006</t>
  </si>
  <si>
    <t xml:space="preserve">-49.9443665</t>
  </si>
  <si>
    <t xml:space="preserve">-50.4480553</t>
  </si>
  <si>
    <t xml:space="preserve">-50.2135925</t>
  </si>
  <si>
    <t xml:space="preserve">-50.291748</t>
  </si>
  <si>
    <t xml:space="preserve">-50.2526703</t>
  </si>
  <si>
    <t xml:space="preserve">-50.4089775</t>
  </si>
  <si>
    <t xml:space="preserve">-50.3698997</t>
  </si>
  <si>
    <t xml:space="preserve">-50.487133</t>
  </si>
  <si>
    <t xml:space="preserve">-50.0657501</t>
  </si>
  <si>
    <t xml:space="preserve">-49.8316154</t>
  </si>
  <si>
    <t xml:space="preserve">-49.9486847</t>
  </si>
  <si>
    <t xml:space="preserve">-50.0267258</t>
  </si>
  <si>
    <t xml:space="preserve">-50.143795</t>
  </si>
  <si>
    <t xml:space="preserve">-50.1047707</t>
  </si>
  <si>
    <t xml:space="preserve">10.1285477</t>
  </si>
  <si>
    <t xml:space="preserve">10.1938925</t>
  </si>
  <si>
    <t xml:space="preserve">10.0632019</t>
  </si>
  <si>
    <t xml:space="preserve">10.0116024</t>
  </si>
  <si>
    <t xml:space="preserve">9.9453001</t>
  </si>
  <si>
    <t xml:space="preserve">9.8789978</t>
  </si>
  <si>
    <t xml:space="preserve">10.0779037</t>
  </si>
  <si>
    <t xml:space="preserve">9.95228863</t>
  </si>
  <si>
    <t xml:space="preserve">9.88593996</t>
  </si>
  <si>
    <t xml:space="preserve">10.0186367</t>
  </si>
  <si>
    <t xml:space="preserve">10.1615009</t>
  </si>
  <si>
    <t xml:space="preserve">10.2007351</t>
  </si>
  <si>
    <t xml:space="preserve">9.96533298</t>
  </si>
  <si>
    <t xml:space="preserve">9.72299183</t>
  </si>
  <si>
    <t xml:space="preserve">10.0045671</t>
  </si>
  <si>
    <t xml:space="preserve">10.0830326</t>
  </si>
  <si>
    <t xml:space="preserve">10.1222677</t>
  </si>
  <si>
    <t xml:space="preserve">10.3553324</t>
  </si>
  <si>
    <t xml:space="preserve">10.3162556</t>
  </si>
  <si>
    <t xml:space="preserve">10.2381029</t>
  </si>
  <si>
    <t xml:space="preserve">10.2771788</t>
  </si>
  <si>
    <t xml:space="preserve">10.1599493</t>
  </si>
  <si>
    <t xml:space="preserve">10.1208725</t>
  </si>
  <si>
    <t xml:space="preserve">10.1990261</t>
  </si>
  <si>
    <t xml:space="preserve">10.5116396</t>
  </si>
  <si>
    <t xml:space="preserve">10.0036421</t>
  </si>
  <si>
    <t xml:space="preserve">10.0677814</t>
  </si>
  <si>
    <t xml:space="preserve">10.028759</t>
  </si>
  <si>
    <t xml:space="preserve">9.98973656</t>
  </si>
  <si>
    <t xml:space="preserve">9.83364677</t>
  </si>
  <si>
    <t xml:space="preserve">9.95071411</t>
  </si>
  <si>
    <t xml:space="preserve">B1v</t>
  </si>
  <si>
    <t xml:space="preserve">5.69120216</t>
  </si>
  <si>
    <t xml:space="preserve">5.61270285</t>
  </si>
  <si>
    <t xml:space="preserve">5.65195227</t>
  </si>
  <si>
    <t xml:space="preserve">5.73045158</t>
  </si>
  <si>
    <t xml:space="preserve">B2v</t>
  </si>
  <si>
    <t xml:space="preserve">15.3193531</t>
  </si>
  <si>
    <t xml:space="preserve">15.1221085</t>
  </si>
  <si>
    <t xml:space="preserve">14.9906126</t>
  </si>
  <si>
    <t xml:space="preserve">15.1878567</t>
  </si>
  <si>
    <t xml:space="preserve">15.2536049</t>
  </si>
  <si>
    <t xml:space="preserve">50.2506638</t>
  </si>
  <si>
    <t xml:space="preserve">50.1199722</t>
  </si>
  <si>
    <t xml:space="preserve">50.185318</t>
  </si>
  <si>
    <t xml:space="preserve">50.7210312</t>
  </si>
  <si>
    <t xml:space="preserve">50.6547279</t>
  </si>
  <si>
    <t xml:space="preserve">50.5884285</t>
  </si>
  <si>
    <t xml:space="preserve">50.5221252</t>
  </si>
  <si>
    <t xml:space="preserve">50.0268364</t>
  </si>
  <si>
    <t xml:space="preserve">50.0931854</t>
  </si>
  <si>
    <t xml:space="preserve">49.9604874</t>
  </si>
  <si>
    <t xml:space="preserve">50.1595345</t>
  </si>
  <si>
    <t xml:space="preserve">50.1797676</t>
  </si>
  <si>
    <t xml:space="preserve">50.294701</t>
  </si>
  <si>
    <t xml:space="preserve">50.2190018</t>
  </si>
  <si>
    <t xml:space="preserve">50.1012993</t>
  </si>
  <si>
    <t xml:space="preserve">50.2582359</t>
  </si>
  <si>
    <t xml:space="preserve">50.3367043</t>
  </si>
  <si>
    <t xml:space="preserve">50.7997437</t>
  </si>
  <si>
    <t xml:space="preserve">50.6043625</t>
  </si>
  <si>
    <t xml:space="preserve">50.6825142</t>
  </si>
  <si>
    <t xml:space="preserve">50.7606697</t>
  </si>
  <si>
    <t xml:space="preserve">50.7060697</t>
  </si>
  <si>
    <t xml:space="preserve">50.721519</t>
  </si>
  <si>
    <t xml:space="preserve">50.1828156</t>
  </si>
  <si>
    <t xml:space="preserve">49.8706398</t>
  </si>
  <si>
    <t xml:space="preserve">49.9096603</t>
  </si>
  <si>
    <t xml:space="preserve">50.0267258</t>
  </si>
  <si>
    <t xml:space="preserve">49.9486847</t>
  </si>
  <si>
    <t xml:space="preserve">50.1047707</t>
  </si>
  <si>
    <t xml:space="preserve">50.0657501</t>
  </si>
  <si>
    <t xml:space="preserve">49.9877052</t>
  </si>
  <si>
    <t xml:space="preserve">29.7119999</t>
  </si>
  <si>
    <t xml:space="preserve">29.6727505</t>
  </si>
  <si>
    <t xml:space="preserve">29.7512493</t>
  </si>
  <si>
    <t xml:space="preserve">82.4483643</t>
  </si>
  <si>
    <t xml:space="preserve">82.5798569</t>
  </si>
  <si>
    <t xml:space="preserve">82.7113571</t>
  </si>
  <si>
    <t xml:space="preserve">82.316684</t>
  </si>
  <si>
    <t xml:space="preserve">82.5411444</t>
  </si>
  <si>
    <t xml:space="preserve">82.645607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</si>
</sst>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\ %"/>
    <numFmt numFmtId="166" formatCode="#,##0.00"/>
    <numFmt numFmtId="167" formatCode="0\ %"/>
    <numFmt numFmtId="168" formatCode="General"/>
    <numFmt numFmtId="169" formatCode="#,##0.00000"/>
  </numFmts>
  <fonts count="8">
    <font>
      <sz val="11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rgb="FF000000"/>
      <name val="Aptos Narrow"/>
      <family val="0"/>
      <charset val="1"/>
    </font>
    <font>
      <sz val="13"/>
      <color rgb="FF000000"/>
      <name val="Aptos Narrow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ptos Narrow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D7D7"/>
        <bgColor rgb="FFE8E8E8"/>
      </patternFill>
    </fill>
    <fill>
      <patternFill patternType="solid">
        <fgColor rgb="FFAFD095"/>
        <bgColor rgb="FFDDDDDD"/>
      </patternFill>
    </fill>
    <fill>
      <patternFill patternType="solid">
        <fgColor rgb="FFDDDDDD"/>
        <bgColor rgb="FFE8E8E8"/>
      </patternFill>
    </fill>
    <fill>
      <patternFill patternType="solid">
        <fgColor rgb="FFFFA6A6"/>
        <bgColor rgb="FFFF8080"/>
      </patternFill>
    </fill>
    <fill>
      <patternFill patternType="solid">
        <fgColor rgb="FFE8E8E8"/>
        <bgColor rgb="FFDDDDD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F1:AY91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A1" activeCellId="0" sqref="A1"/>
    </sheetView>
  </sheetViews>
  <sheetFormatPr defaultColWidth="12.6015625" defaultRowHeight="15" zeroHeight="false" outlineLevelRow="0" outlineLevelCol="0"/>
  <cols>
    <col collapsed="false" customWidth="true" hidden="false" outlineLevel="0" max="36" min="1" style="0" width="10.76"/>
    <col collapsed="false" customWidth="true" hidden="false" outlineLevel="0" max="37" min="37" style="0" width="14.13"/>
    <col collapsed="false" customWidth="true" hidden="false" outlineLevel="0" max="41" min="38" style="0" width="10.76"/>
    <col collapsed="false" customWidth="true" hidden="false" outlineLevel="0" max="42" min="42" style="0" width="16.49"/>
    <col collapsed="false" customWidth="true" hidden="false" outlineLevel="0" max="43" min="43" style="0" width="17"/>
    <col collapsed="false" customWidth="true" hidden="false" outlineLevel="0" max="51" min="44" style="0" width="10.76"/>
  </cols>
  <sheetData>
    <row r="1" customFormat="false" ht="13.5" hidden="false" customHeight="true" outlineLevel="0" collapsed="false"/>
    <row r="2" customFormat="false" ht="13.5" hidden="false" customHeight="true" outlineLevel="0" collapsed="false"/>
    <row r="3" customFormat="false" ht="13.5" hidden="false" customHeight="true" outlineLevel="0" collapsed="false">
      <c r="K3" s="1"/>
      <c r="L3" s="2" t="s">
        <v>0</v>
      </c>
      <c r="M3" s="2" t="s">
        <v>1</v>
      </c>
      <c r="N3" s="2" t="s">
        <v>2</v>
      </c>
      <c r="O3" s="2" t="s">
        <v>3</v>
      </c>
    </row>
    <row r="4" customFormat="false" ht="13.5" hidden="false" customHeight="true" outlineLevel="0" collapsed="false">
      <c r="K4" s="3" t="s">
        <v>4</v>
      </c>
      <c r="L4" s="1" t="n">
        <v>40</v>
      </c>
      <c r="M4" s="1" t="n">
        <v>66</v>
      </c>
      <c r="N4" s="1" t="n">
        <v>80</v>
      </c>
      <c r="O4" s="1" t="n">
        <v>134</v>
      </c>
    </row>
    <row r="5" customFormat="false" ht="13.5" hidden="false" customHeight="true" outlineLevel="0" collapsed="false">
      <c r="K5" s="3" t="s">
        <v>5</v>
      </c>
      <c r="L5" s="4" t="n">
        <v>76</v>
      </c>
      <c r="M5" s="4" t="n">
        <v>126</v>
      </c>
      <c r="N5" s="4" t="n">
        <v>152</v>
      </c>
      <c r="O5" s="4" t="n">
        <v>255</v>
      </c>
    </row>
    <row r="6" customFormat="false" ht="13.5" hidden="false" customHeight="true" outlineLevel="0" collapsed="false">
      <c r="K6" s="3" t="s">
        <v>6</v>
      </c>
      <c r="L6" s="1" t="n">
        <v>80</v>
      </c>
      <c r="M6" s="1" t="n">
        <v>133</v>
      </c>
      <c r="N6" s="1" t="n">
        <v>161</v>
      </c>
      <c r="O6" s="1" t="n">
        <v>268</v>
      </c>
    </row>
    <row r="7" customFormat="false" ht="35.25" hidden="false" customHeight="true" outlineLevel="0" collapsed="false">
      <c r="K7" s="5" t="s">
        <v>7</v>
      </c>
      <c r="L7" s="6" t="n">
        <f aca="false">L6*2/4095</f>
        <v>0.0390720390720391</v>
      </c>
      <c r="M7" s="6" t="n">
        <f aca="false">M6*2/4095</f>
        <v>0.064957264957265</v>
      </c>
      <c r="N7" s="6" t="n">
        <f aca="false">N6/4095</f>
        <v>0.0393162393162393</v>
      </c>
      <c r="O7" s="6" t="n">
        <f aca="false">O6/4095</f>
        <v>0.0654456654456654</v>
      </c>
    </row>
    <row r="8" customFormat="false" ht="26.1" hidden="false" customHeight="true" outlineLevel="0" collapsed="false"/>
    <row r="9" customFormat="false" ht="28.35" hidden="false" customHeight="true" outlineLevel="0" collapsed="false">
      <c r="K9" s="7" t="s">
        <v>8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J9" s="8" t="s">
        <v>9</v>
      </c>
      <c r="AK9" s="8"/>
      <c r="AL9" s="8"/>
    </row>
    <row r="10" customFormat="false" ht="13.5" hidden="false" customHeight="true" outlineLevel="0" collapsed="false"/>
    <row r="11" customFormat="false" ht="13.5" hidden="false" customHeight="true" outlineLevel="0" collapsed="false">
      <c r="L11" s="9" t="n">
        <v>0</v>
      </c>
      <c r="M11" s="9"/>
      <c r="N11" s="9"/>
      <c r="O11" s="9"/>
      <c r="P11" s="9"/>
      <c r="Q11" s="10" t="s">
        <v>10</v>
      </c>
      <c r="T11" s="10" t="n">
        <v>0.5</v>
      </c>
      <c r="U11" s="10"/>
      <c r="V11" s="10"/>
      <c r="W11" s="10"/>
      <c r="X11" s="10"/>
      <c r="Y11" s="10" t="s">
        <v>10</v>
      </c>
      <c r="AB11" s="9" t="n">
        <v>0.95</v>
      </c>
      <c r="AC11" s="9"/>
      <c r="AD11" s="9"/>
      <c r="AE11" s="9"/>
      <c r="AF11" s="9"/>
      <c r="AG11" s="10" t="s">
        <v>10</v>
      </c>
      <c r="AJ11" s="2" t="s">
        <v>11</v>
      </c>
      <c r="AK11" s="2" t="s">
        <v>12</v>
      </c>
      <c r="AL11" s="2" t="s">
        <v>13</v>
      </c>
      <c r="AO11" s="11"/>
      <c r="AP11" s="11"/>
      <c r="AQ11" s="11"/>
      <c r="AR11" s="11"/>
      <c r="AS11" s="11"/>
      <c r="AT11" s="11"/>
      <c r="AU11" s="11"/>
      <c r="AV11" s="11"/>
      <c r="AW11" s="11"/>
      <c r="AX11" s="11"/>
    </row>
    <row r="12" customFormat="false" ht="13.5" hidden="false" customHeight="true" outlineLevel="0" collapsed="false">
      <c r="K12" s="12" t="s">
        <v>14</v>
      </c>
      <c r="L12" s="1" t="n">
        <v>2044</v>
      </c>
      <c r="M12" s="1" t="n">
        <v>2056</v>
      </c>
      <c r="N12" s="1" t="n">
        <v>2052</v>
      </c>
      <c r="O12" s="1" t="n">
        <v>2049</v>
      </c>
      <c r="P12" s="1" t="n">
        <v>2053</v>
      </c>
      <c r="Q12" s="13" t="n">
        <f aca="false">AVERAGE(L12:P12)</f>
        <v>2050.8</v>
      </c>
      <c r="S12" s="12" t="s">
        <v>14</v>
      </c>
      <c r="T12" s="1" t="n">
        <v>3067</v>
      </c>
      <c r="U12" s="1" t="n">
        <v>3068</v>
      </c>
      <c r="V12" s="1" t="n">
        <v>3064</v>
      </c>
      <c r="W12" s="1" t="n">
        <v>3067</v>
      </c>
      <c r="X12" s="1" t="n">
        <v>3066</v>
      </c>
      <c r="Y12" s="13" t="n">
        <f aca="false">AVERAGE(T12:X12)</f>
        <v>3066.4</v>
      </c>
      <c r="AA12" s="12" t="s">
        <v>14</v>
      </c>
      <c r="AB12" s="1" t="n">
        <v>3994</v>
      </c>
      <c r="AC12" s="1" t="n">
        <v>3985</v>
      </c>
      <c r="AD12" s="1" t="n">
        <v>3983</v>
      </c>
      <c r="AE12" s="1" t="n">
        <v>3981</v>
      </c>
      <c r="AF12" s="1" t="n">
        <v>3985</v>
      </c>
      <c r="AG12" s="13" t="n">
        <f aca="false">AVERAGE(AB12:AF12)</f>
        <v>3985.6</v>
      </c>
      <c r="AI12" s="12" t="s">
        <v>15</v>
      </c>
      <c r="AJ12" s="14" t="n">
        <f aca="false">(Y12-Q12)/$L$4</f>
        <v>25.39</v>
      </c>
      <c r="AK12" s="14" t="n">
        <f aca="false">(AG12-Y12)/($L$5-$L$4)</f>
        <v>25.5333333333333</v>
      </c>
      <c r="AL12" s="15" t="n">
        <f aca="false">(AK12+AJ12)/2</f>
        <v>25.4616666666667</v>
      </c>
    </row>
    <row r="13" customFormat="false" ht="13.5" hidden="false" customHeight="true" outlineLevel="0" collapsed="false">
      <c r="K13" s="12" t="s">
        <v>16</v>
      </c>
      <c r="L13" s="1" t="n">
        <v>2059</v>
      </c>
      <c r="M13" s="1" t="n">
        <v>2060</v>
      </c>
      <c r="N13" s="1" t="n">
        <v>2055</v>
      </c>
      <c r="O13" s="1" t="n">
        <v>2055</v>
      </c>
      <c r="P13" s="1" t="n">
        <v>2060</v>
      </c>
      <c r="Q13" s="13" t="n">
        <f aca="false">AVERAGE(L13:P13)</f>
        <v>2057.8</v>
      </c>
      <c r="S13" s="12" t="s">
        <v>16</v>
      </c>
      <c r="T13" s="1" t="n">
        <v>3073</v>
      </c>
      <c r="U13" s="1" t="n">
        <v>3080</v>
      </c>
      <c r="V13" s="1" t="n">
        <v>3078</v>
      </c>
      <c r="W13" s="1" t="n">
        <v>3077</v>
      </c>
      <c r="X13" s="1" t="n">
        <v>3077</v>
      </c>
      <c r="Y13" s="13" t="n">
        <f aca="false">AVERAGE(T13:X13)</f>
        <v>3077</v>
      </c>
      <c r="AA13" s="12" t="s">
        <v>16</v>
      </c>
      <c r="AB13" s="1" t="n">
        <v>4002</v>
      </c>
      <c r="AC13" s="1" t="n">
        <v>3997</v>
      </c>
      <c r="AD13" s="1" t="n">
        <v>3997</v>
      </c>
      <c r="AE13" s="1" t="n">
        <v>3993</v>
      </c>
      <c r="AF13" s="1" t="n">
        <v>3997</v>
      </c>
      <c r="AG13" s="13" t="n">
        <f aca="false">AVERAGE(AB13:AF13)</f>
        <v>3997.2</v>
      </c>
      <c r="AI13" s="12" t="s">
        <v>17</v>
      </c>
      <c r="AJ13" s="14" t="n">
        <f aca="false">(Y13-Q13)/$L$4</f>
        <v>25.48</v>
      </c>
      <c r="AK13" s="14" t="n">
        <f aca="false">(AG13-Y13)/($L$5-$L$4)</f>
        <v>25.5611111111111</v>
      </c>
      <c r="AL13" s="15" t="n">
        <f aca="false">(AK13+AJ13)/2</f>
        <v>25.5205555555556</v>
      </c>
    </row>
    <row r="14" customFormat="false" ht="13.5" hidden="false" customHeight="true" outlineLevel="0" collapsed="false">
      <c r="K14" s="12" t="s">
        <v>18</v>
      </c>
      <c r="L14" s="1" t="n">
        <v>2058</v>
      </c>
      <c r="M14" s="1" t="n">
        <v>2054</v>
      </c>
      <c r="N14" s="1" t="n">
        <v>2050</v>
      </c>
      <c r="O14" s="1" t="n">
        <v>2056</v>
      </c>
      <c r="P14" s="1" t="n">
        <v>2048</v>
      </c>
      <c r="Q14" s="13" t="n">
        <f aca="false">AVERAGE(L14:P14)</f>
        <v>2053.2</v>
      </c>
      <c r="S14" s="12" t="s">
        <v>18</v>
      </c>
      <c r="T14" s="1" t="n">
        <v>3083</v>
      </c>
      <c r="U14" s="1" t="n">
        <v>3082</v>
      </c>
      <c r="V14" s="1" t="n">
        <v>3082</v>
      </c>
      <c r="W14" s="1" t="n">
        <v>3082</v>
      </c>
      <c r="X14" s="1" t="n">
        <v>3088</v>
      </c>
      <c r="Y14" s="13" t="n">
        <f aca="false">AVERAGE(T14:X14)</f>
        <v>3083.4</v>
      </c>
      <c r="AA14" s="12" t="s">
        <v>18</v>
      </c>
      <c r="AB14" s="1" t="n">
        <v>4007</v>
      </c>
      <c r="AC14" s="1" t="n">
        <v>4006</v>
      </c>
      <c r="AD14" s="1" t="n">
        <v>4004</v>
      </c>
      <c r="AE14" s="1" t="n">
        <v>4008</v>
      </c>
      <c r="AF14" s="1" t="n">
        <v>4005</v>
      </c>
      <c r="AG14" s="13" t="n">
        <f aca="false">AVERAGE(AB14:AF14)</f>
        <v>4006</v>
      </c>
      <c r="AI14" s="12" t="s">
        <v>19</v>
      </c>
      <c r="AJ14" s="14" t="n">
        <f aca="false">(Y14-Q14)/$L$4</f>
        <v>25.755</v>
      </c>
      <c r="AK14" s="14" t="n">
        <f aca="false">(AG14-Y14)/($L$5-$L$4)</f>
        <v>25.6277777777778</v>
      </c>
      <c r="AL14" s="15" t="n">
        <f aca="false">(AK14+AJ14)/2</f>
        <v>25.6913888888889</v>
      </c>
    </row>
    <row r="15" customFormat="false" ht="13.5" hidden="false" customHeight="true" outlineLevel="0" collapsed="false">
      <c r="K15" s="12" t="s">
        <v>20</v>
      </c>
      <c r="L15" s="1" t="n">
        <v>17</v>
      </c>
      <c r="M15" s="1" t="n">
        <v>13</v>
      </c>
      <c r="N15" s="1" t="n">
        <v>15</v>
      </c>
      <c r="O15" s="1" t="n">
        <v>15</v>
      </c>
      <c r="P15" s="1" t="n">
        <v>15</v>
      </c>
      <c r="Q15" s="13" t="n">
        <f aca="false">AVERAGE(L15:P15)</f>
        <v>15</v>
      </c>
      <c r="S15" s="12" t="s">
        <v>21</v>
      </c>
      <c r="T15" s="1" t="n">
        <v>2035</v>
      </c>
      <c r="U15" s="1" t="n">
        <v>2037</v>
      </c>
      <c r="V15" s="1" t="n">
        <v>2037</v>
      </c>
      <c r="W15" s="1" t="n">
        <v>2038</v>
      </c>
      <c r="X15" s="1" t="n">
        <v>2037</v>
      </c>
      <c r="Y15" s="13" t="n">
        <f aca="false">AVERAGE(T15:X15)</f>
        <v>2036.8</v>
      </c>
      <c r="AA15" s="12" t="s">
        <v>21</v>
      </c>
      <c r="AB15" s="1" t="n">
        <v>3883</v>
      </c>
      <c r="AC15" s="1" t="n">
        <v>3883</v>
      </c>
      <c r="AD15" s="1" t="n">
        <v>3884</v>
      </c>
      <c r="AE15" s="1" t="n">
        <v>3882</v>
      </c>
      <c r="AF15" s="1" t="n">
        <v>3880</v>
      </c>
      <c r="AG15" s="13" t="n">
        <f aca="false">AVERAGE(AB15:AF15)</f>
        <v>3882.4</v>
      </c>
      <c r="AI15" s="12" t="s">
        <v>22</v>
      </c>
      <c r="AJ15" s="14" t="n">
        <f aca="false">(Y15-Q15)/$N$4</f>
        <v>25.2725</v>
      </c>
      <c r="AK15" s="14" t="n">
        <f aca="false">(AG15-Y15)/($N$5-$N$4)</f>
        <v>25.6333333333333</v>
      </c>
      <c r="AL15" s="15" t="n">
        <f aca="false">(AK15+AJ15)/2</f>
        <v>25.4529166666667</v>
      </c>
    </row>
    <row r="16" customFormat="false" ht="13.5" hidden="false" customHeight="true" outlineLevel="0" collapsed="false">
      <c r="K16" s="12" t="s">
        <v>23</v>
      </c>
      <c r="L16" s="1" t="n">
        <v>2059</v>
      </c>
      <c r="M16" s="1" t="n">
        <v>2059</v>
      </c>
      <c r="N16" s="1" t="n">
        <v>2060</v>
      </c>
      <c r="O16" s="1" t="n">
        <v>2059</v>
      </c>
      <c r="P16" s="1" t="n">
        <v>2059</v>
      </c>
      <c r="Q16" s="13" t="n">
        <f aca="false">AVERAGE(L16:P16)</f>
        <v>2059.2</v>
      </c>
      <c r="S16" s="12" t="s">
        <v>23</v>
      </c>
      <c r="T16" s="1" t="n">
        <v>3070</v>
      </c>
      <c r="U16" s="1" t="n">
        <v>3068</v>
      </c>
      <c r="V16" s="1" t="n">
        <v>3069</v>
      </c>
      <c r="W16" s="1" t="n">
        <v>3067</v>
      </c>
      <c r="X16" s="1" t="n">
        <v>3068</v>
      </c>
      <c r="Y16" s="13" t="n">
        <f aca="false">AVERAGE(T16:X16)</f>
        <v>3068.4</v>
      </c>
      <c r="AA16" s="12" t="s">
        <v>23</v>
      </c>
      <c r="AB16" s="1" t="n">
        <v>3985</v>
      </c>
      <c r="AC16" s="1" t="n">
        <v>3986</v>
      </c>
      <c r="AD16" s="1" t="n">
        <v>3984</v>
      </c>
      <c r="AE16" s="1" t="n">
        <v>3984</v>
      </c>
      <c r="AF16" s="1" t="n">
        <v>3987</v>
      </c>
      <c r="AG16" s="13" t="n">
        <f aca="false">AVERAGE(AB16:AF16)</f>
        <v>3985.2</v>
      </c>
      <c r="AI16" s="12" t="s">
        <v>24</v>
      </c>
      <c r="AJ16" s="14" t="n">
        <f aca="false">(Y16-Q16)/$M$4</f>
        <v>15.2909090909091</v>
      </c>
      <c r="AK16" s="14" t="n">
        <f aca="false">(AG16-Y16)/($M$5-$M$4)</f>
        <v>15.28</v>
      </c>
      <c r="AL16" s="15" t="n">
        <f aca="false">(AK16+AJ16)/2</f>
        <v>15.2854545454545</v>
      </c>
    </row>
    <row r="17" customFormat="false" ht="13.5" hidden="false" customHeight="true" outlineLevel="0" collapsed="false">
      <c r="K17" s="12" t="s">
        <v>25</v>
      </c>
      <c r="L17" s="1" t="n">
        <v>2065</v>
      </c>
      <c r="M17" s="1" t="n">
        <v>2069</v>
      </c>
      <c r="N17" s="1" t="n">
        <v>2069</v>
      </c>
      <c r="O17" s="1" t="n">
        <v>2067</v>
      </c>
      <c r="P17" s="1" t="n">
        <v>2069</v>
      </c>
      <c r="Q17" s="13" t="n">
        <f aca="false">AVERAGE(L17:P17)</f>
        <v>2067.8</v>
      </c>
      <c r="S17" s="12" t="s">
        <v>25</v>
      </c>
      <c r="T17" s="1" t="n">
        <v>3077</v>
      </c>
      <c r="U17" s="1" t="n">
        <v>3066</v>
      </c>
      <c r="V17" s="1" t="n">
        <v>3078</v>
      </c>
      <c r="W17" s="1" t="n">
        <v>3078</v>
      </c>
      <c r="X17" s="1" t="n">
        <v>6078</v>
      </c>
      <c r="Y17" s="13" t="n">
        <f aca="false">AVERAGE(T17:X17)</f>
        <v>3675.4</v>
      </c>
      <c r="AA17" s="12" t="s">
        <v>25</v>
      </c>
      <c r="AB17" s="1" t="n">
        <v>3995</v>
      </c>
      <c r="AC17" s="1" t="n">
        <v>3997</v>
      </c>
      <c r="AD17" s="1" t="n">
        <v>3996</v>
      </c>
      <c r="AE17" s="1" t="n">
        <v>3994</v>
      </c>
      <c r="AF17" s="1" t="n">
        <v>3997</v>
      </c>
      <c r="AG17" s="13" t="n">
        <f aca="false">AVERAGE(AB17:AF17)</f>
        <v>3995.8</v>
      </c>
      <c r="AI17" s="12" t="s">
        <v>26</v>
      </c>
      <c r="AJ17" s="14" t="n">
        <f aca="false">(Y17-Q17)/$M$4</f>
        <v>24.3575757575758</v>
      </c>
      <c r="AK17" s="14" t="n">
        <f aca="false">(AG17-Y17)/($M$5-$M$4)</f>
        <v>5.34</v>
      </c>
      <c r="AL17" s="15" t="n">
        <f aca="false">(AK17+AJ17)/2</f>
        <v>14.8487878787879</v>
      </c>
    </row>
    <row r="18" customFormat="false" ht="13.5" hidden="false" customHeight="true" outlineLevel="0" collapsed="false">
      <c r="K18" s="12" t="s">
        <v>27</v>
      </c>
      <c r="L18" s="1" t="n">
        <v>2062</v>
      </c>
      <c r="M18" s="1" t="n">
        <v>2062</v>
      </c>
      <c r="N18" s="1" t="n">
        <v>2062</v>
      </c>
      <c r="O18" s="1" t="n">
        <v>2063</v>
      </c>
      <c r="P18" s="1" t="n">
        <v>2061</v>
      </c>
      <c r="Q18" s="13" t="n">
        <f aca="false">AVERAGE(L18:P18)</f>
        <v>2062</v>
      </c>
      <c r="S18" s="12" t="s">
        <v>27</v>
      </c>
      <c r="T18" s="1" t="n">
        <v>3057</v>
      </c>
      <c r="U18" s="1" t="n">
        <v>3056</v>
      </c>
      <c r="V18" s="1" t="n">
        <v>3058</v>
      </c>
      <c r="W18" s="1" t="n">
        <v>3056</v>
      </c>
      <c r="X18" s="1" t="n">
        <v>3056</v>
      </c>
      <c r="Y18" s="13" t="n">
        <f aca="false">AVERAGE(T18:X18)</f>
        <v>3056.6</v>
      </c>
      <c r="AA18" s="12" t="s">
        <v>27</v>
      </c>
      <c r="AB18" s="1" t="n">
        <v>3961</v>
      </c>
      <c r="AC18" s="1" t="n">
        <v>3960</v>
      </c>
      <c r="AD18" s="1" t="n">
        <v>3962</v>
      </c>
      <c r="AE18" s="1" t="n">
        <v>3961</v>
      </c>
      <c r="AF18" s="1" t="n">
        <v>3963</v>
      </c>
      <c r="AG18" s="13" t="n">
        <f aca="false">AVERAGE(AB18:AF18)</f>
        <v>3961.4</v>
      </c>
      <c r="AI18" s="12" t="s">
        <v>28</v>
      </c>
      <c r="AJ18" s="14" t="n">
        <f aca="false">(Y18-Q18)/$M$4</f>
        <v>15.069696969697</v>
      </c>
      <c r="AK18" s="14" t="n">
        <f aca="false">(AG18-Y18)/($M$5-$M$4)</f>
        <v>15.08</v>
      </c>
      <c r="AL18" s="15" t="n">
        <f aca="false">(AK18+AJ18)/2</f>
        <v>15.0748484848485</v>
      </c>
      <c r="AP18" s="8" t="s">
        <v>29</v>
      </c>
      <c r="AQ18" s="8"/>
    </row>
    <row r="19" customFormat="false" ht="13.5" hidden="false" customHeight="true" outlineLevel="0" collapsed="false">
      <c r="K19" s="12" t="s">
        <v>30</v>
      </c>
      <c r="L19" s="1" t="n">
        <v>19</v>
      </c>
      <c r="M19" s="1" t="n">
        <v>20</v>
      </c>
      <c r="N19" s="1" t="n">
        <v>18</v>
      </c>
      <c r="O19" s="1" t="n">
        <v>19</v>
      </c>
      <c r="P19" s="1" t="n">
        <v>20</v>
      </c>
      <c r="Q19" s="13" t="n">
        <f aca="false">AVERAGE(L19:P19)</f>
        <v>19.2</v>
      </c>
      <c r="S19" s="12" t="s">
        <v>30</v>
      </c>
      <c r="T19" s="1" t="n">
        <v>2052</v>
      </c>
      <c r="U19" s="1" t="n">
        <v>2051</v>
      </c>
      <c r="V19" s="1" t="n">
        <v>2049</v>
      </c>
      <c r="W19" s="1" t="n">
        <v>2051</v>
      </c>
      <c r="X19" s="1" t="n">
        <v>2051</v>
      </c>
      <c r="Y19" s="13" t="n">
        <f aca="false">AVERAGE(T19:X19)</f>
        <v>2050.8</v>
      </c>
      <c r="AA19" s="12" t="s">
        <v>30</v>
      </c>
      <c r="AB19" s="1" t="n">
        <v>3897</v>
      </c>
      <c r="AC19" s="1" t="n">
        <v>3898</v>
      </c>
      <c r="AD19" s="1" t="n">
        <v>3897</v>
      </c>
      <c r="AE19" s="1" t="n">
        <v>3896</v>
      </c>
      <c r="AF19" s="1" t="n">
        <v>3897</v>
      </c>
      <c r="AG19" s="13" t="n">
        <f aca="false">AVERAGE(AB19:AF19)</f>
        <v>3897</v>
      </c>
      <c r="AI19" s="12" t="s">
        <v>31</v>
      </c>
      <c r="AJ19" s="14" t="n">
        <f aca="false">(Y19-Q19)/$O$4</f>
        <v>15.1611940298507</v>
      </c>
      <c r="AK19" s="14" t="n">
        <f aca="false">(AG19-Y19)/($O$5-$O$4)</f>
        <v>15.2578512396694</v>
      </c>
      <c r="AL19" s="15" t="n">
        <f aca="false">(AK19+AJ19)/2</f>
        <v>15.2095226347601</v>
      </c>
      <c r="AP19" s="16" t="s">
        <v>15</v>
      </c>
      <c r="AQ19" s="17" t="n">
        <f aca="false">(AL12+AL29)/2</f>
        <v>25.4404166666667</v>
      </c>
    </row>
    <row r="20" customFormat="false" ht="13.5" hidden="false" customHeight="true" outlineLevel="0" collapsed="false">
      <c r="K20" s="12" t="s">
        <v>32</v>
      </c>
      <c r="L20" s="1" t="n">
        <v>2059</v>
      </c>
      <c r="M20" s="1" t="n">
        <v>2060</v>
      </c>
      <c r="N20" s="1" t="n">
        <v>2060</v>
      </c>
      <c r="O20" s="1" t="n">
        <v>2058</v>
      </c>
      <c r="P20" s="1" t="n">
        <v>2060</v>
      </c>
      <c r="Q20" s="13" t="n">
        <f aca="false">AVERAGE(L20:P20)</f>
        <v>2059.4</v>
      </c>
      <c r="S20" s="12" t="s">
        <v>32</v>
      </c>
      <c r="T20" s="1" t="n">
        <v>3077</v>
      </c>
      <c r="U20" s="1" t="n">
        <v>3079</v>
      </c>
      <c r="V20" s="1" t="n">
        <v>3080</v>
      </c>
      <c r="W20" s="1" t="n">
        <v>3080</v>
      </c>
      <c r="X20" s="1" t="n">
        <v>3080</v>
      </c>
      <c r="Y20" s="13" t="n">
        <f aca="false">AVERAGE(T20:X20)</f>
        <v>3079.2</v>
      </c>
      <c r="AA20" s="12" t="s">
        <v>32</v>
      </c>
      <c r="AB20" s="1" t="n">
        <v>3998</v>
      </c>
      <c r="AC20" s="1" t="n">
        <v>3998</v>
      </c>
      <c r="AD20" s="1" t="n">
        <v>3998</v>
      </c>
      <c r="AE20" s="1" t="n">
        <v>3998</v>
      </c>
      <c r="AF20" s="1" t="n">
        <v>3998</v>
      </c>
      <c r="AG20" s="13" t="n">
        <f aca="false">AVERAGE(AB20:AF20)</f>
        <v>3998</v>
      </c>
      <c r="AI20" s="12" t="s">
        <v>33</v>
      </c>
      <c r="AJ20" s="14" t="n">
        <f aca="false">(Y20-Q20)/$L$4</f>
        <v>25.495</v>
      </c>
      <c r="AK20" s="14" t="n">
        <f aca="false">(AG20-Y20)/($L$5-$L$4)</f>
        <v>25.5222222222222</v>
      </c>
      <c r="AL20" s="15" t="n">
        <f aca="false">(AK20+AJ20)/2</f>
        <v>25.5086111111111</v>
      </c>
      <c r="AP20" s="16" t="s">
        <v>17</v>
      </c>
      <c r="AQ20" s="17" t="n">
        <f aca="false">(AL13+AL30)/2</f>
        <v>25.5331944444444</v>
      </c>
    </row>
    <row r="21" customFormat="false" ht="13.5" hidden="false" customHeight="true" outlineLevel="0" collapsed="false">
      <c r="K21" s="12" t="s">
        <v>34</v>
      </c>
      <c r="L21" s="1" t="n">
        <v>2056</v>
      </c>
      <c r="M21" s="1" t="n">
        <v>2056</v>
      </c>
      <c r="N21" s="1" t="n">
        <v>2056</v>
      </c>
      <c r="O21" s="1" t="n">
        <v>2056</v>
      </c>
      <c r="P21" s="1" t="n">
        <v>2055</v>
      </c>
      <c r="Q21" s="13" t="n">
        <f aca="false">AVERAGE(L21:P21)</f>
        <v>2055.8</v>
      </c>
      <c r="S21" s="12" t="s">
        <v>34</v>
      </c>
      <c r="T21" s="1" t="n">
        <v>3075</v>
      </c>
      <c r="U21" s="1" t="n">
        <v>3078</v>
      </c>
      <c r="V21" s="1" t="n">
        <v>3076</v>
      </c>
      <c r="W21" s="1" t="n">
        <v>3075</v>
      </c>
      <c r="X21" s="1" t="n">
        <v>3078</v>
      </c>
      <c r="Y21" s="13" t="n">
        <f aca="false">AVERAGE(T21:X21)</f>
        <v>3076.4</v>
      </c>
      <c r="AA21" s="12" t="s">
        <v>34</v>
      </c>
      <c r="AB21" s="1" t="n">
        <v>3997</v>
      </c>
      <c r="AC21" s="1" t="n">
        <v>3998</v>
      </c>
      <c r="AD21" s="1" t="n">
        <v>3998</v>
      </c>
      <c r="AE21" s="1" t="n">
        <v>3999</v>
      </c>
      <c r="AF21" s="1" t="n">
        <v>3998</v>
      </c>
      <c r="AG21" s="13" t="n">
        <f aca="false">AVERAGE(AB21:AF21)</f>
        <v>3998</v>
      </c>
      <c r="AI21" s="12" t="s">
        <v>35</v>
      </c>
      <c r="AJ21" s="14" t="n">
        <f aca="false">(Y21-Q21)/$L$4</f>
        <v>25.515</v>
      </c>
      <c r="AK21" s="14" t="n">
        <f aca="false">(AG21-Y21)/($L$5-$L$4)</f>
        <v>25.6</v>
      </c>
      <c r="AL21" s="15" t="n">
        <f aca="false">(AK21+AJ21)/2</f>
        <v>25.5575</v>
      </c>
      <c r="AP21" s="16" t="s">
        <v>19</v>
      </c>
      <c r="AQ21" s="17" t="n">
        <f aca="false">(AL14+AL31)/2</f>
        <v>25.7091666666667</v>
      </c>
    </row>
    <row r="22" customFormat="false" ht="13.5" hidden="false" customHeight="true" outlineLevel="0" collapsed="false">
      <c r="AP22" s="16" t="s">
        <v>22</v>
      </c>
      <c r="AQ22" s="17" t="n">
        <f aca="false">AL15</f>
        <v>25.4529166666667</v>
      </c>
    </row>
    <row r="23" customFormat="false" ht="13.5" hidden="false" customHeight="true" outlineLevel="0" collapsed="false">
      <c r="AP23" s="16" t="s">
        <v>24</v>
      </c>
      <c r="AQ23" s="17" t="n">
        <f aca="false">(AL16+AL33)/2</f>
        <v>17.8463888888889</v>
      </c>
    </row>
    <row r="24" customFormat="false" ht="13.5" hidden="false" customHeight="true" outlineLevel="0" collapsed="false">
      <c r="AP24" s="16" t="s">
        <v>26</v>
      </c>
      <c r="AQ24" s="17" t="n">
        <f aca="false">(AL17+AL34)/2</f>
        <v>17.6334848484848</v>
      </c>
    </row>
    <row r="25" customFormat="false" ht="13.5" hidden="false" customHeight="true" outlineLevel="0" collapsed="false">
      <c r="AP25" s="16" t="s">
        <v>28</v>
      </c>
      <c r="AQ25" s="17" t="n">
        <f aca="false">(AL18+AL35)/2</f>
        <v>17.5875505050505</v>
      </c>
    </row>
    <row r="26" customFormat="false" ht="24.6" hidden="false" customHeight="true" outlineLevel="0" collapsed="false">
      <c r="K26" s="7" t="s">
        <v>36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J26" s="8" t="s">
        <v>37</v>
      </c>
      <c r="AK26" s="8"/>
      <c r="AL26" s="8"/>
      <c r="AP26" s="16" t="s">
        <v>31</v>
      </c>
      <c r="AQ26" s="17" t="n">
        <f aca="false">AL19</f>
        <v>15.2095226347601</v>
      </c>
    </row>
    <row r="27" customFormat="false" ht="13.5" hidden="false" customHeight="true" outlineLevel="0" collapsed="false">
      <c r="AP27" s="16" t="s">
        <v>33</v>
      </c>
      <c r="AQ27" s="17" t="n">
        <f aca="false">(AL20+AL37)/2</f>
        <v>25.5091666666667</v>
      </c>
    </row>
    <row r="28" customFormat="false" ht="13.5" hidden="false" customHeight="true" outlineLevel="0" collapsed="false">
      <c r="L28" s="9" t="n">
        <v>0</v>
      </c>
      <c r="M28" s="9"/>
      <c r="N28" s="9"/>
      <c r="O28" s="9"/>
      <c r="P28" s="9"/>
      <c r="Q28" s="10" t="s">
        <v>10</v>
      </c>
      <c r="T28" s="9" t="n">
        <v>-0.5</v>
      </c>
      <c r="U28" s="9"/>
      <c r="V28" s="9"/>
      <c r="W28" s="9"/>
      <c r="X28" s="9"/>
      <c r="Y28" s="10" t="s">
        <v>10</v>
      </c>
      <c r="AB28" s="9" t="n">
        <v>0.95</v>
      </c>
      <c r="AC28" s="9"/>
      <c r="AD28" s="9"/>
      <c r="AE28" s="9"/>
      <c r="AF28" s="9"/>
      <c r="AG28" s="10" t="s">
        <v>10</v>
      </c>
      <c r="AJ28" s="2" t="s">
        <v>11</v>
      </c>
      <c r="AK28" s="2" t="s">
        <v>12</v>
      </c>
      <c r="AL28" s="2" t="s">
        <v>13</v>
      </c>
      <c r="AP28" s="16" t="s">
        <v>35</v>
      </c>
      <c r="AQ28" s="17" t="n">
        <f aca="false">(AL21+AL38)/2</f>
        <v>25.5663888888889</v>
      </c>
    </row>
    <row r="29" customFormat="false" ht="13.5" hidden="false" customHeight="true" outlineLevel="0" collapsed="false">
      <c r="K29" s="12" t="s">
        <v>14</v>
      </c>
      <c r="L29" s="1" t="n">
        <v>2044</v>
      </c>
      <c r="M29" s="1" t="n">
        <v>2056</v>
      </c>
      <c r="N29" s="1" t="n">
        <v>2052</v>
      </c>
      <c r="O29" s="1" t="n">
        <v>2049</v>
      </c>
      <c r="P29" s="1" t="n">
        <v>2053</v>
      </c>
      <c r="Q29" s="13" t="n">
        <f aca="false">AVERAGE(L29:P29)</f>
        <v>2050.8</v>
      </c>
      <c r="S29" s="12" t="s">
        <v>14</v>
      </c>
      <c r="T29" s="1" t="n">
        <v>1032</v>
      </c>
      <c r="U29" s="1" t="n">
        <v>1031</v>
      </c>
      <c r="V29" s="1" t="n">
        <v>1029</v>
      </c>
      <c r="W29" s="1" t="n">
        <v>1029</v>
      </c>
      <c r="X29" s="1" t="n">
        <v>1032</v>
      </c>
      <c r="Y29" s="13" t="n">
        <f aca="false">AVERAGE(T29:X29)</f>
        <v>1030.6</v>
      </c>
      <c r="AA29" s="12" t="s">
        <v>14</v>
      </c>
      <c r="AB29" s="1" t="n">
        <v>119</v>
      </c>
      <c r="AC29" s="1" t="n">
        <v>115</v>
      </c>
      <c r="AD29" s="1" t="n">
        <v>119</v>
      </c>
      <c r="AE29" s="1" t="n">
        <v>120</v>
      </c>
      <c r="AF29" s="1" t="n">
        <v>120</v>
      </c>
      <c r="AG29" s="13" t="n">
        <f aca="false">AVERAGE(AB29:AF29)</f>
        <v>118.6</v>
      </c>
      <c r="AJ29" s="14" t="n">
        <f aca="false">(Q29-Y29)/$L$4</f>
        <v>25.505</v>
      </c>
      <c r="AK29" s="14" t="n">
        <f aca="false">-(Y29-AG29)/($L$4-$L$5)</f>
        <v>25.3333333333333</v>
      </c>
      <c r="AL29" s="15" t="n">
        <f aca="false">(AK29+AJ29)/2</f>
        <v>25.4191666666667</v>
      </c>
    </row>
    <row r="30" customFormat="false" ht="13.5" hidden="false" customHeight="true" outlineLevel="0" collapsed="false">
      <c r="K30" s="12" t="s">
        <v>16</v>
      </c>
      <c r="L30" s="1" t="n">
        <v>2059</v>
      </c>
      <c r="M30" s="1" t="n">
        <v>2060</v>
      </c>
      <c r="N30" s="1" t="n">
        <v>2055</v>
      </c>
      <c r="O30" s="1" t="n">
        <v>2055</v>
      </c>
      <c r="P30" s="1" t="n">
        <v>2060</v>
      </c>
      <c r="Q30" s="13" t="n">
        <f aca="false">AVERAGE(L30:P30)</f>
        <v>2057.8</v>
      </c>
      <c r="S30" s="12" t="s">
        <v>16</v>
      </c>
      <c r="T30" s="1" t="n">
        <v>1023</v>
      </c>
      <c r="U30" s="1" t="n">
        <v>1034</v>
      </c>
      <c r="V30" s="1" t="n">
        <v>1036</v>
      </c>
      <c r="W30" s="1" t="n">
        <v>1035</v>
      </c>
      <c r="X30" s="1" t="n">
        <v>1036</v>
      </c>
      <c r="Y30" s="13" t="n">
        <f aca="false">AVERAGE(T30:X30)</f>
        <v>1032.8</v>
      </c>
      <c r="AA30" s="12" t="s">
        <v>16</v>
      </c>
      <c r="AB30" s="1" t="n">
        <v>120</v>
      </c>
      <c r="AC30" s="1" t="n">
        <v>111</v>
      </c>
      <c r="AD30" s="1" t="n">
        <v>117</v>
      </c>
      <c r="AE30" s="1" t="n">
        <v>117</v>
      </c>
      <c r="AF30" s="1" t="n">
        <v>115</v>
      </c>
      <c r="AG30" s="13" t="n">
        <f aca="false">AVERAGE(AB30:AF30)</f>
        <v>116</v>
      </c>
      <c r="AJ30" s="14" t="n">
        <f aca="false">(Q30-Y30)/$L$4</f>
        <v>25.625</v>
      </c>
      <c r="AK30" s="14" t="n">
        <f aca="false">-(Y30-AG30)/($L$4-$L$5)</f>
        <v>25.4666666666667</v>
      </c>
      <c r="AL30" s="15" t="n">
        <f aca="false">(AK30+AJ30)/2</f>
        <v>25.5458333333333</v>
      </c>
    </row>
    <row r="31" customFormat="false" ht="13.5" hidden="false" customHeight="true" outlineLevel="0" collapsed="false">
      <c r="K31" s="12" t="s">
        <v>18</v>
      </c>
      <c r="L31" s="1" t="n">
        <v>2058</v>
      </c>
      <c r="M31" s="1" t="n">
        <v>2054</v>
      </c>
      <c r="N31" s="1" t="n">
        <v>2050</v>
      </c>
      <c r="O31" s="1" t="n">
        <v>2056</v>
      </c>
      <c r="P31" s="1" t="n">
        <v>2048</v>
      </c>
      <c r="Q31" s="13" t="n">
        <f aca="false">AVERAGE(L31:P31)</f>
        <v>2053.2</v>
      </c>
      <c r="S31" s="12" t="s">
        <v>18</v>
      </c>
      <c r="T31" s="1" t="n">
        <v>1025</v>
      </c>
      <c r="U31" s="1" t="n">
        <v>1026</v>
      </c>
      <c r="V31" s="1" t="n">
        <v>1026</v>
      </c>
      <c r="W31" s="1" t="n">
        <v>1025</v>
      </c>
      <c r="X31" s="1" t="n">
        <v>1021</v>
      </c>
      <c r="Y31" s="13" t="n">
        <f aca="false">AVERAGE(T31:X31)</f>
        <v>1024.6</v>
      </c>
      <c r="AA31" s="12" t="s">
        <v>18</v>
      </c>
      <c r="AB31" s="1" t="n">
        <v>95</v>
      </c>
      <c r="AC31" s="1" t="n">
        <v>101</v>
      </c>
      <c r="AD31" s="1" t="n">
        <v>99</v>
      </c>
      <c r="AE31" s="1" t="n">
        <v>98</v>
      </c>
      <c r="AF31" s="1" t="n">
        <v>97</v>
      </c>
      <c r="AG31" s="13" t="n">
        <f aca="false">AVERAGE(AB31:AF31)</f>
        <v>98</v>
      </c>
      <c r="AJ31" s="14" t="n">
        <f aca="false">(Q31-Y31)/$L$4</f>
        <v>25.715</v>
      </c>
      <c r="AK31" s="14" t="n">
        <f aca="false">-(Y31-AG31)/($L$4-$L$5)</f>
        <v>25.7388888888889</v>
      </c>
      <c r="AL31" s="15" t="n">
        <f aca="false">(AK31+AJ31)/2</f>
        <v>25.7269444444444</v>
      </c>
    </row>
    <row r="32" customFormat="false" ht="13.5" hidden="false" customHeight="true" outlineLevel="0" collapsed="false">
      <c r="K32" s="12" t="s">
        <v>21</v>
      </c>
      <c r="L32" s="1" t="n">
        <v>17</v>
      </c>
      <c r="M32" s="1" t="n">
        <v>13</v>
      </c>
      <c r="N32" s="1" t="n">
        <v>15</v>
      </c>
      <c r="O32" s="1" t="n">
        <v>15</v>
      </c>
      <c r="P32" s="1" t="n">
        <v>15</v>
      </c>
      <c r="Q32" s="13" t="n">
        <f aca="false">AVERAGE(L32:P32)</f>
        <v>15</v>
      </c>
      <c r="S32" s="12" t="s">
        <v>21</v>
      </c>
      <c r="T32" s="1"/>
      <c r="U32" s="1"/>
      <c r="V32" s="1"/>
      <c r="W32" s="1"/>
      <c r="X32" s="1"/>
      <c r="Y32" s="13" t="e">
        <f aca="false">AVERAGE(T32:X32)</f>
        <v>#DIV/0!</v>
      </c>
      <c r="AA32" s="12" t="s">
        <v>21</v>
      </c>
      <c r="AB32" s="1"/>
      <c r="AC32" s="1"/>
      <c r="AD32" s="1"/>
      <c r="AE32" s="1"/>
      <c r="AF32" s="1"/>
      <c r="AG32" s="13"/>
      <c r="AJ32" s="14"/>
      <c r="AK32" s="14"/>
      <c r="AL32" s="15"/>
    </row>
    <row r="33" customFormat="false" ht="13.5" hidden="false" customHeight="true" outlineLevel="0" collapsed="false">
      <c r="K33" s="12" t="s">
        <v>23</v>
      </c>
      <c r="L33" s="1" t="n">
        <v>2059</v>
      </c>
      <c r="M33" s="1" t="n">
        <v>2059</v>
      </c>
      <c r="N33" s="1" t="n">
        <v>2060</v>
      </c>
      <c r="O33" s="1" t="n">
        <v>2059</v>
      </c>
      <c r="P33" s="1" t="n">
        <v>2059</v>
      </c>
      <c r="Q33" s="13" t="n">
        <f aca="false">AVERAGE(L33:P33)</f>
        <v>2059.2</v>
      </c>
      <c r="S33" s="12" t="s">
        <v>23</v>
      </c>
      <c r="T33" s="1" t="n">
        <v>1049</v>
      </c>
      <c r="U33" s="1" t="n">
        <v>1047</v>
      </c>
      <c r="V33" s="1" t="n">
        <v>1049</v>
      </c>
      <c r="W33" s="1" t="n">
        <v>1051</v>
      </c>
      <c r="X33" s="1" t="n">
        <v>1048</v>
      </c>
      <c r="Y33" s="13" t="n">
        <f aca="false">AVERAGE(T33:X33)</f>
        <v>1048.8</v>
      </c>
      <c r="AA33" s="12" t="s">
        <v>23</v>
      </c>
      <c r="AB33" s="1" t="n">
        <v>131</v>
      </c>
      <c r="AC33" s="1" t="n">
        <v>130</v>
      </c>
      <c r="AD33" s="1" t="n">
        <v>129</v>
      </c>
      <c r="AE33" s="1" t="n">
        <v>132</v>
      </c>
      <c r="AF33" s="1" t="n">
        <v>131</v>
      </c>
      <c r="AG33" s="13" t="n">
        <f aca="false">AVERAGE(AB33:AF33)</f>
        <v>130.6</v>
      </c>
      <c r="AJ33" s="14" t="n">
        <f aca="false">(Q33-Y33)/$M$4</f>
        <v>15.3090909090909</v>
      </c>
      <c r="AK33" s="14" t="n">
        <f aca="false">-(Y33-AG33)/($L$4-$L$5)</f>
        <v>25.5055555555556</v>
      </c>
      <c r="AL33" s="15" t="n">
        <f aca="false">(AK33+AJ33)/2</f>
        <v>20.4073232323232</v>
      </c>
    </row>
    <row r="34" customFormat="false" ht="13.5" hidden="false" customHeight="true" outlineLevel="0" collapsed="false">
      <c r="K34" s="12" t="s">
        <v>25</v>
      </c>
      <c r="L34" s="1" t="n">
        <v>2065</v>
      </c>
      <c r="M34" s="1" t="n">
        <v>2069</v>
      </c>
      <c r="N34" s="1" t="n">
        <v>2069</v>
      </c>
      <c r="O34" s="1" t="n">
        <v>2067</v>
      </c>
      <c r="P34" s="1" t="n">
        <v>2069</v>
      </c>
      <c r="Q34" s="13" t="n">
        <f aca="false">AVERAGE(L34:P34)</f>
        <v>2067.8</v>
      </c>
      <c r="S34" s="12" t="s">
        <v>25</v>
      </c>
      <c r="T34" s="1" t="n">
        <v>1056</v>
      </c>
      <c r="U34" s="1" t="n">
        <v>1056</v>
      </c>
      <c r="V34" s="1" t="n">
        <v>1055</v>
      </c>
      <c r="W34" s="1" t="n">
        <v>1055</v>
      </c>
      <c r="X34" s="1" t="n">
        <v>1056</v>
      </c>
      <c r="Y34" s="13" t="n">
        <f aca="false">AVERAGE(T34:X34)</f>
        <v>1055.6</v>
      </c>
      <c r="AA34" s="12" t="s">
        <v>25</v>
      </c>
      <c r="AB34" s="1" t="n">
        <v>138</v>
      </c>
      <c r="AC34" s="1" t="n">
        <v>138</v>
      </c>
      <c r="AD34" s="1" t="n">
        <v>136</v>
      </c>
      <c r="AE34" s="1" t="n">
        <v>138</v>
      </c>
      <c r="AF34" s="1" t="n">
        <v>138</v>
      </c>
      <c r="AG34" s="13" t="n">
        <f aca="false">AVERAGE(AB34:AF34)</f>
        <v>137.6</v>
      </c>
      <c r="AJ34" s="14" t="n">
        <f aca="false">(Q34-Y34)/$M$4</f>
        <v>15.3363636363636</v>
      </c>
      <c r="AK34" s="14" t="n">
        <f aca="false">-(Y34-AG34)/($L$4-$L$5)</f>
        <v>25.5</v>
      </c>
      <c r="AL34" s="15" t="n">
        <f aca="false">(AK34+AJ34)/2</f>
        <v>20.4181818181818</v>
      </c>
    </row>
    <row r="35" customFormat="false" ht="13.5" hidden="false" customHeight="true" outlineLevel="0" collapsed="false">
      <c r="K35" s="12" t="s">
        <v>27</v>
      </c>
      <c r="L35" s="1" t="n">
        <v>2062</v>
      </c>
      <c r="M35" s="1" t="n">
        <v>2062</v>
      </c>
      <c r="N35" s="1" t="n">
        <v>2062</v>
      </c>
      <c r="O35" s="1" t="n">
        <v>2063</v>
      </c>
      <c r="P35" s="1" t="n">
        <v>2061</v>
      </c>
      <c r="Q35" s="13" t="n">
        <f aca="false">AVERAGE(L35:P35)</f>
        <v>2062</v>
      </c>
      <c r="S35" s="12" t="s">
        <v>27</v>
      </c>
      <c r="T35" s="1" t="n">
        <v>1066</v>
      </c>
      <c r="U35" s="1" t="n">
        <v>1069</v>
      </c>
      <c r="V35" s="1" t="n">
        <v>1067</v>
      </c>
      <c r="W35" s="1" t="n">
        <v>1067</v>
      </c>
      <c r="X35" s="1" t="n">
        <v>1067</v>
      </c>
      <c r="Y35" s="13" t="n">
        <f aca="false">AVERAGE(T35:X35)</f>
        <v>1067.2</v>
      </c>
      <c r="AA35" s="12" t="s">
        <v>27</v>
      </c>
      <c r="AB35" s="1" t="n">
        <v>163</v>
      </c>
      <c r="AC35" s="1" t="n">
        <v>162</v>
      </c>
      <c r="AD35" s="1" t="n">
        <v>163</v>
      </c>
      <c r="AE35" s="1" t="n">
        <v>163</v>
      </c>
      <c r="AF35" s="1" t="n">
        <v>162</v>
      </c>
      <c r="AG35" s="13" t="n">
        <f aca="false">AVERAGE(AB35:AF35)</f>
        <v>162.6</v>
      </c>
      <c r="AJ35" s="14" t="n">
        <f aca="false">(Q35-Y35)/$M$4</f>
        <v>15.0727272727273</v>
      </c>
      <c r="AK35" s="14" t="n">
        <f aca="false">-(Y35-AG35)/($L$4-$L$5)</f>
        <v>25.1277777777778</v>
      </c>
      <c r="AL35" s="15" t="n">
        <f aca="false">(AK35+AJ35)/2</f>
        <v>20.1002525252525</v>
      </c>
    </row>
    <row r="36" customFormat="false" ht="13.5" hidden="false" customHeight="true" outlineLevel="0" collapsed="false">
      <c r="K36" s="12" t="s">
        <v>30</v>
      </c>
      <c r="L36" s="1" t="n">
        <v>19</v>
      </c>
      <c r="M36" s="1" t="n">
        <v>20</v>
      </c>
      <c r="N36" s="1" t="n">
        <v>18</v>
      </c>
      <c r="O36" s="1" t="n">
        <v>19</v>
      </c>
      <c r="P36" s="1" t="n">
        <v>20</v>
      </c>
      <c r="Q36" s="13" t="n">
        <f aca="false">AVERAGE(L36:P36)</f>
        <v>19.2</v>
      </c>
      <c r="S36" s="12" t="s">
        <v>30</v>
      </c>
      <c r="T36" s="1"/>
      <c r="U36" s="1"/>
      <c r="V36" s="1"/>
      <c r="W36" s="1"/>
      <c r="X36" s="1"/>
      <c r="Y36" s="13" t="e">
        <f aca="false">AVERAGE(T36:X36)</f>
        <v>#DIV/0!</v>
      </c>
      <c r="AA36" s="12" t="s">
        <v>30</v>
      </c>
      <c r="AB36" s="1"/>
      <c r="AC36" s="1"/>
      <c r="AD36" s="1"/>
      <c r="AE36" s="1"/>
      <c r="AF36" s="1"/>
      <c r="AG36" s="13"/>
      <c r="AJ36" s="14"/>
      <c r="AK36" s="14"/>
      <c r="AL36" s="15"/>
    </row>
    <row r="37" customFormat="false" ht="13.5" hidden="false" customHeight="true" outlineLevel="0" collapsed="false">
      <c r="K37" s="12" t="s">
        <v>32</v>
      </c>
      <c r="L37" s="1" t="n">
        <v>2059</v>
      </c>
      <c r="M37" s="1" t="n">
        <v>2060</v>
      </c>
      <c r="N37" s="1" t="n">
        <v>2060</v>
      </c>
      <c r="O37" s="1" t="n">
        <v>2058</v>
      </c>
      <c r="P37" s="1" t="n">
        <v>2060</v>
      </c>
      <c r="Q37" s="13" t="n">
        <f aca="false">AVERAGE(L37:P37)</f>
        <v>2059.4</v>
      </c>
      <c r="S37" s="12" t="s">
        <v>32</v>
      </c>
      <c r="T37" s="1" t="n">
        <v>1038</v>
      </c>
      <c r="U37" s="1" t="n">
        <v>1039</v>
      </c>
      <c r="V37" s="1" t="n">
        <v>1037</v>
      </c>
      <c r="W37" s="1" t="n">
        <v>1039</v>
      </c>
      <c r="X37" s="1" t="n">
        <v>1039</v>
      </c>
      <c r="Y37" s="13" t="n">
        <f aca="false">AVERAGE(T37:X37)</f>
        <v>1038.4</v>
      </c>
      <c r="AA37" s="12" t="s">
        <v>32</v>
      </c>
      <c r="AB37" s="1" t="n">
        <v>121</v>
      </c>
      <c r="AC37" s="1" t="n">
        <v>121</v>
      </c>
      <c r="AD37" s="1" t="n">
        <v>121</v>
      </c>
      <c r="AE37" s="1" t="n">
        <v>120</v>
      </c>
      <c r="AF37" s="1" t="n">
        <v>120</v>
      </c>
      <c r="AG37" s="13" t="n">
        <f aca="false">AVERAGE(AB37:AF37)</f>
        <v>120.6</v>
      </c>
      <c r="AJ37" s="14" t="n">
        <f aca="false">(Q37-Y37)/$L$4</f>
        <v>25.525</v>
      </c>
      <c r="AK37" s="14" t="n">
        <f aca="false">-(Y37-AG37)/($L$4-$L$5)</f>
        <v>25.4944444444444</v>
      </c>
      <c r="AL37" s="15" t="n">
        <f aca="false">(AK37+AJ37)/2</f>
        <v>25.5097222222222</v>
      </c>
    </row>
    <row r="38" customFormat="false" ht="13.5" hidden="false" customHeight="true" outlineLevel="0" collapsed="false">
      <c r="K38" s="12" t="s">
        <v>34</v>
      </c>
      <c r="L38" s="1" t="n">
        <v>2056</v>
      </c>
      <c r="M38" s="1" t="n">
        <v>2056</v>
      </c>
      <c r="N38" s="1" t="n">
        <v>2056</v>
      </c>
      <c r="O38" s="1" t="n">
        <v>2056</v>
      </c>
      <c r="P38" s="1" t="n">
        <v>2055</v>
      </c>
      <c r="Q38" s="13" t="n">
        <f aca="false">AVERAGE(L38:P38)</f>
        <v>2055.8</v>
      </c>
      <c r="S38" s="12" t="s">
        <v>34</v>
      </c>
      <c r="T38" s="1" t="n">
        <v>1032</v>
      </c>
      <c r="U38" s="1" t="n">
        <v>1033</v>
      </c>
      <c r="V38" s="1" t="n">
        <v>1031</v>
      </c>
      <c r="W38" s="1" t="n">
        <v>1033</v>
      </c>
      <c r="X38" s="1" t="n">
        <v>1031</v>
      </c>
      <c r="Y38" s="13" t="n">
        <f aca="false">AVERAGE(T38:X38)</f>
        <v>1032</v>
      </c>
      <c r="AA38" s="12" t="s">
        <v>34</v>
      </c>
      <c r="AB38" s="1" t="n">
        <v>114</v>
      </c>
      <c r="AC38" s="1" t="n">
        <v>112</v>
      </c>
      <c r="AD38" s="1" t="n">
        <v>111</v>
      </c>
      <c r="AE38" s="1" t="n">
        <v>111</v>
      </c>
      <c r="AF38" s="1" t="n">
        <v>112</v>
      </c>
      <c r="AG38" s="13" t="n">
        <f aca="false">AVERAGE(AB38:AF38)</f>
        <v>112</v>
      </c>
      <c r="AJ38" s="14" t="n">
        <f aca="false">(Q38-Y38)/$L$4</f>
        <v>25.595</v>
      </c>
      <c r="AK38" s="14" t="n">
        <f aca="false">-(Y38-AG38)/($L$4-$L$5)</f>
        <v>25.5555555555556</v>
      </c>
      <c r="AL38" s="15" t="n">
        <f aca="false">(AK38+AJ38)/2</f>
        <v>25.5752777777778</v>
      </c>
    </row>
    <row r="42" customFormat="false" ht="13.5" hidden="false" customHeight="true" outlineLevel="0" collapsed="false">
      <c r="J42" s="18" t="n">
        <v>1</v>
      </c>
      <c r="K42" s="19" t="s">
        <v>38</v>
      </c>
      <c r="L42" s="20" t="n">
        <v>95</v>
      </c>
      <c r="M42" s="20" t="n">
        <v>6.46</v>
      </c>
    </row>
    <row r="43" customFormat="false" ht="13.5" hidden="false" customHeight="true" outlineLevel="0" collapsed="false">
      <c r="J43" s="18" t="n">
        <v>0.5</v>
      </c>
      <c r="K43" s="20" t="n">
        <v>3.4</v>
      </c>
      <c r="AB43" s="21" t="n">
        <v>0.95</v>
      </c>
      <c r="AC43" s="21"/>
      <c r="AD43" s="21"/>
      <c r="AE43" s="21"/>
      <c r="AF43" s="21"/>
      <c r="AG43" s="21"/>
      <c r="AH43" s="21"/>
      <c r="AJ43" s="21"/>
      <c r="AK43" s="21"/>
      <c r="AL43" s="21"/>
      <c r="AM43" s="21"/>
      <c r="AN43" s="21"/>
      <c r="AO43" s="21"/>
    </row>
    <row r="44" customFormat="false" ht="13.5" hidden="false" customHeight="true" outlineLevel="0" collapsed="false">
      <c r="L44" s="21" t="n">
        <v>0</v>
      </c>
      <c r="M44" s="21"/>
      <c r="N44" s="21"/>
      <c r="O44" s="21"/>
      <c r="P44" s="21"/>
      <c r="Q44" s="21"/>
      <c r="T44" s="21" t="n">
        <v>0.5</v>
      </c>
      <c r="U44" s="21"/>
      <c r="V44" s="21"/>
      <c r="W44" s="21"/>
      <c r="X44" s="21"/>
      <c r="Y44" s="21"/>
      <c r="AB44" s="20" t="n">
        <v>3995</v>
      </c>
      <c r="AC44" s="20" t="n">
        <v>4006</v>
      </c>
      <c r="AD44" s="20" t="n">
        <v>4006</v>
      </c>
      <c r="AE44" s="20" t="n">
        <v>4000</v>
      </c>
      <c r="AF44" s="20" t="n">
        <v>4008</v>
      </c>
      <c r="AP44" s="21" t="n">
        <v>-0.5</v>
      </c>
      <c r="AQ44" s="21"/>
      <c r="AR44" s="21"/>
      <c r="AS44" s="21"/>
      <c r="AT44" s="21"/>
      <c r="AU44" s="21" t="n">
        <v>-0.95</v>
      </c>
      <c r="AV44" s="21"/>
      <c r="AW44" s="21"/>
      <c r="AX44" s="21"/>
      <c r="AY44" s="21"/>
    </row>
    <row r="45" customFormat="false" ht="13.5" hidden="false" customHeight="true" outlineLevel="0" collapsed="false">
      <c r="K45" s="20" t="s">
        <v>14</v>
      </c>
      <c r="L45" s="20" t="n">
        <v>2060</v>
      </c>
      <c r="M45" s="20" t="n">
        <v>2053</v>
      </c>
      <c r="N45" s="20" t="n">
        <v>2055</v>
      </c>
      <c r="O45" s="20" t="n">
        <v>2054</v>
      </c>
      <c r="P45" s="20" t="n">
        <v>2056</v>
      </c>
      <c r="T45" s="20" t="n">
        <v>3086</v>
      </c>
      <c r="U45" s="20" t="n">
        <v>3073</v>
      </c>
      <c r="V45" s="20" t="n">
        <v>3073</v>
      </c>
      <c r="W45" s="20" t="n">
        <v>3084</v>
      </c>
      <c r="X45" s="20" t="n">
        <v>3077</v>
      </c>
      <c r="AB45" s="20" t="n">
        <v>3989</v>
      </c>
      <c r="AC45" s="20" t="n">
        <v>3990</v>
      </c>
      <c r="AD45" s="20" t="n">
        <v>3991</v>
      </c>
      <c r="AE45" s="20" t="n">
        <v>3993</v>
      </c>
      <c r="AF45" s="20" t="n">
        <v>3995</v>
      </c>
      <c r="AP45" s="20" t="n">
        <v>1025</v>
      </c>
      <c r="AQ45" s="20" t="n">
        <v>1023</v>
      </c>
      <c r="AR45" s="20" t="n">
        <v>1028</v>
      </c>
      <c r="AS45" s="20" t="n">
        <v>1027</v>
      </c>
      <c r="AT45" s="20" t="n">
        <v>1031</v>
      </c>
      <c r="AU45" s="20" t="n">
        <v>101</v>
      </c>
      <c r="AV45" s="20" t="n">
        <v>97</v>
      </c>
      <c r="AW45" s="20" t="n">
        <v>109</v>
      </c>
      <c r="AX45" s="20" t="n">
        <v>98</v>
      </c>
      <c r="AY45" s="20" t="n">
        <v>108</v>
      </c>
    </row>
    <row r="46" customFormat="false" ht="13.5" hidden="false" customHeight="true" outlineLevel="0" collapsed="false">
      <c r="K46" s="20" t="s">
        <v>16</v>
      </c>
      <c r="L46" s="20" t="n">
        <v>2055</v>
      </c>
      <c r="M46" s="20" t="n">
        <v>2053</v>
      </c>
      <c r="N46" s="20" t="n">
        <v>2058</v>
      </c>
      <c r="O46" s="20" t="n">
        <v>2053</v>
      </c>
      <c r="P46" s="20" t="n">
        <v>2052</v>
      </c>
      <c r="T46" s="20" t="n">
        <v>3074</v>
      </c>
      <c r="U46" s="20" t="n">
        <v>3068</v>
      </c>
      <c r="V46" s="20" t="n">
        <v>3066</v>
      </c>
      <c r="W46" s="20" t="n">
        <v>3079</v>
      </c>
      <c r="X46" s="20" t="n">
        <v>3072</v>
      </c>
      <c r="AB46" s="20" t="n">
        <v>3994</v>
      </c>
      <c r="AC46" s="20" t="n">
        <v>3999</v>
      </c>
      <c r="AD46" s="20" t="n">
        <v>4005</v>
      </c>
      <c r="AE46" s="20" t="n">
        <v>3997</v>
      </c>
      <c r="AF46" s="20" t="n">
        <v>4006</v>
      </c>
      <c r="AP46" s="20" t="n">
        <v>1028</v>
      </c>
      <c r="AQ46" s="20" t="n">
        <v>1023</v>
      </c>
      <c r="AR46" s="20" t="n">
        <v>1030</v>
      </c>
      <c r="AS46" s="20" t="n">
        <v>1029</v>
      </c>
      <c r="AT46" s="20" t="n">
        <v>1034</v>
      </c>
      <c r="AU46" s="20" t="n">
        <v>104</v>
      </c>
      <c r="AV46" s="20" t="n">
        <v>104</v>
      </c>
      <c r="AW46" s="20" t="n">
        <v>117</v>
      </c>
      <c r="AX46" s="20" t="n">
        <v>104</v>
      </c>
      <c r="AY46" s="20" t="n">
        <v>114</v>
      </c>
    </row>
    <row r="47" customFormat="false" ht="13.5" hidden="false" customHeight="true" outlineLevel="0" collapsed="false">
      <c r="K47" s="20" t="s">
        <v>18</v>
      </c>
      <c r="L47" s="20" t="n">
        <v>2067</v>
      </c>
      <c r="M47" s="20" t="n">
        <v>2065</v>
      </c>
      <c r="N47" s="20" t="n">
        <v>2064</v>
      </c>
      <c r="O47" s="20" t="n">
        <v>2065</v>
      </c>
      <c r="P47" s="20" t="n">
        <v>2064</v>
      </c>
      <c r="T47" s="20" t="n">
        <v>3086</v>
      </c>
      <c r="U47" s="20" t="n">
        <v>3076</v>
      </c>
      <c r="V47" s="20" t="n">
        <v>3076</v>
      </c>
      <c r="W47" s="20" t="n">
        <v>3090</v>
      </c>
      <c r="X47" s="20" t="n">
        <v>3081</v>
      </c>
      <c r="AB47" s="20" t="n">
        <v>4007</v>
      </c>
      <c r="AC47" s="20" t="n">
        <v>4015</v>
      </c>
      <c r="AD47" s="20" t="n">
        <v>4012</v>
      </c>
      <c r="AE47" s="20" t="n">
        <v>4011</v>
      </c>
      <c r="AF47" s="20" t="n">
        <v>4018</v>
      </c>
      <c r="AP47" s="20" t="n">
        <v>1041</v>
      </c>
      <c r="AQ47" s="20" t="n">
        <v>1035</v>
      </c>
      <c r="AR47" s="20" t="n">
        <v>1039</v>
      </c>
      <c r="AS47" s="20" t="n">
        <v>1037</v>
      </c>
      <c r="AT47" s="20" t="n">
        <v>1039</v>
      </c>
      <c r="AU47" s="20" t="n">
        <v>117</v>
      </c>
      <c r="AV47" s="20" t="n">
        <v>114</v>
      </c>
      <c r="AW47" s="20" t="n">
        <v>127</v>
      </c>
      <c r="AX47" s="20" t="n">
        <v>116</v>
      </c>
      <c r="AY47" s="20" t="n">
        <v>122</v>
      </c>
    </row>
    <row r="48" customFormat="false" ht="13.5" hidden="false" customHeight="true" outlineLevel="0" collapsed="false">
      <c r="K48" s="20" t="s">
        <v>23</v>
      </c>
      <c r="L48" s="20" t="n">
        <v>2064</v>
      </c>
      <c r="M48" s="20" t="n">
        <v>2066</v>
      </c>
      <c r="N48" s="20" t="n">
        <v>2068</v>
      </c>
      <c r="O48" s="20" t="n">
        <v>2062</v>
      </c>
      <c r="P48" s="20" t="n">
        <v>2067</v>
      </c>
      <c r="T48" s="20" t="n">
        <v>3093</v>
      </c>
      <c r="U48" s="20" t="n">
        <v>3084</v>
      </c>
      <c r="V48" s="20" t="n">
        <v>3080</v>
      </c>
      <c r="W48" s="20" t="n">
        <v>3092</v>
      </c>
      <c r="X48" s="20" t="n">
        <v>3092</v>
      </c>
      <c r="AB48" s="20" t="n">
        <v>3994</v>
      </c>
      <c r="AC48" s="20" t="n">
        <v>3998</v>
      </c>
      <c r="AD48" s="20" t="n">
        <v>3999</v>
      </c>
      <c r="AE48" s="20" t="n">
        <v>3997</v>
      </c>
      <c r="AF48" s="20" t="n">
        <v>3998</v>
      </c>
      <c r="AP48" s="20" t="n">
        <v>1032</v>
      </c>
      <c r="AQ48" s="20" t="n">
        <v>1030</v>
      </c>
      <c r="AR48" s="20" t="n">
        <v>1028</v>
      </c>
      <c r="AS48" s="20" t="n">
        <v>1032</v>
      </c>
      <c r="AT48" s="20" t="n">
        <v>1040</v>
      </c>
      <c r="AU48" s="20" t="n">
        <v>105</v>
      </c>
      <c r="AV48" s="20" t="n">
        <v>103</v>
      </c>
      <c r="AW48" s="20" t="n">
        <v>117</v>
      </c>
      <c r="AX48" s="20" t="n">
        <v>102</v>
      </c>
      <c r="AY48" s="20" t="n">
        <v>111</v>
      </c>
    </row>
    <row r="49" customFormat="false" ht="13.5" hidden="false" customHeight="true" outlineLevel="0" collapsed="false">
      <c r="K49" s="20" t="s">
        <v>25</v>
      </c>
      <c r="L49" s="20" t="n">
        <v>2058</v>
      </c>
      <c r="M49" s="20" t="n">
        <v>2052</v>
      </c>
      <c r="N49" s="20" t="n">
        <v>2053</v>
      </c>
      <c r="O49" s="20" t="n">
        <v>2053</v>
      </c>
      <c r="P49" s="20" t="n">
        <v>2056</v>
      </c>
      <c r="T49" s="20" t="n">
        <v>3082</v>
      </c>
      <c r="U49" s="20" t="n">
        <v>3072</v>
      </c>
      <c r="V49" s="20" t="n">
        <v>3069</v>
      </c>
      <c r="W49" s="20" t="n">
        <v>3083</v>
      </c>
      <c r="X49" s="20" t="n">
        <v>3074</v>
      </c>
      <c r="AB49" s="20" t="n">
        <v>4003</v>
      </c>
      <c r="AC49" s="20" t="n">
        <v>4004</v>
      </c>
      <c r="AD49" s="20" t="n">
        <v>4015</v>
      </c>
      <c r="AE49" s="20" t="n">
        <v>4010</v>
      </c>
      <c r="AF49" s="20" t="n">
        <v>3997</v>
      </c>
      <c r="AP49" s="20" t="n">
        <v>1029</v>
      </c>
      <c r="AQ49" s="20" t="n">
        <v>1026</v>
      </c>
      <c r="AR49" s="20" t="n">
        <v>1027</v>
      </c>
      <c r="AS49" s="20" t="n">
        <v>1026</v>
      </c>
      <c r="AT49" s="20" t="n">
        <v>1029</v>
      </c>
      <c r="AU49" s="20" t="n">
        <v>100</v>
      </c>
      <c r="AV49" s="20" t="n">
        <v>101</v>
      </c>
      <c r="AW49" s="20" t="n">
        <v>108</v>
      </c>
      <c r="AX49" s="20" t="n">
        <v>100</v>
      </c>
      <c r="AY49" s="20" t="n">
        <v>107</v>
      </c>
    </row>
    <row r="50" customFormat="false" ht="13.5" hidden="false" customHeight="true" outlineLevel="0" collapsed="false">
      <c r="K50" s="20" t="s">
        <v>27</v>
      </c>
      <c r="L50" s="20" t="n">
        <v>2055</v>
      </c>
      <c r="M50" s="20" t="n">
        <v>2062</v>
      </c>
      <c r="N50" s="20" t="n">
        <v>2079</v>
      </c>
      <c r="O50" s="20" t="n">
        <v>2069</v>
      </c>
      <c r="P50" s="20" t="n">
        <v>2062</v>
      </c>
      <c r="T50" s="20" t="n">
        <v>3090</v>
      </c>
      <c r="U50" s="20" t="n">
        <v>3074</v>
      </c>
      <c r="V50" s="20" t="n">
        <v>3078</v>
      </c>
      <c r="W50" s="20" t="n">
        <v>3087</v>
      </c>
      <c r="X50" s="20" t="n">
        <v>3103</v>
      </c>
      <c r="AP50" s="20" t="n">
        <v>1034</v>
      </c>
      <c r="AQ50" s="20" t="n">
        <v>1033</v>
      </c>
      <c r="AR50" s="20" t="n">
        <v>1038</v>
      </c>
      <c r="AS50" s="20" t="n">
        <v>1026</v>
      </c>
      <c r="AT50" s="20" t="n">
        <v>1039</v>
      </c>
      <c r="AU50" s="20" t="n">
        <v>127</v>
      </c>
      <c r="AV50" s="20" t="n">
        <v>108</v>
      </c>
      <c r="AW50" s="20" t="n">
        <v>130</v>
      </c>
      <c r="AX50" s="20" t="n">
        <v>106</v>
      </c>
      <c r="AY50" s="20" t="n">
        <v>120</v>
      </c>
    </row>
    <row r="54" customFormat="false" ht="13.5" hidden="false" customHeight="true" outlineLevel="0" collapsed="false">
      <c r="N54" s="20" t="n">
        <v>130</v>
      </c>
    </row>
    <row r="79" customFormat="false" ht="13.5" hidden="false" customHeight="true" outlineLevel="0" collapsed="false">
      <c r="F79" s="20" t="s">
        <v>33</v>
      </c>
      <c r="G79" s="20" t="n">
        <v>3590</v>
      </c>
      <c r="H79" s="20" t="n">
        <v>60</v>
      </c>
    </row>
    <row r="80" customFormat="false" ht="13.5" hidden="false" customHeight="true" outlineLevel="0" collapsed="false">
      <c r="G80" s="20" t="n">
        <v>2824</v>
      </c>
      <c r="H80" s="20" t="n">
        <v>30</v>
      </c>
    </row>
    <row r="83" customFormat="false" ht="13.5" hidden="false" customHeight="true" outlineLevel="0" collapsed="false">
      <c r="G83" s="20" t="n">
        <v>1292</v>
      </c>
      <c r="H83" s="20" t="n">
        <v>-30</v>
      </c>
    </row>
    <row r="84" customFormat="false" ht="13.5" hidden="false" customHeight="true" outlineLevel="0" collapsed="false">
      <c r="G84" s="20" t="n">
        <v>525</v>
      </c>
      <c r="H84" s="20" t="n">
        <v>-60</v>
      </c>
    </row>
    <row r="85" customFormat="false" ht="13.5" hidden="false" customHeight="true" outlineLevel="0" collapsed="false">
      <c r="F85" s="20" t="s">
        <v>35</v>
      </c>
      <c r="G85" s="20" t="n">
        <v>3589</v>
      </c>
      <c r="H85" s="20" t="n">
        <v>60</v>
      </c>
    </row>
    <row r="86" customFormat="false" ht="13.5" hidden="false" customHeight="true" outlineLevel="0" collapsed="false">
      <c r="G86" s="20" t="n">
        <v>2821</v>
      </c>
      <c r="H86" s="20" t="n">
        <v>30</v>
      </c>
    </row>
    <row r="89" customFormat="false" ht="13.5" hidden="false" customHeight="true" outlineLevel="0" collapsed="false">
      <c r="G89" s="20" t="n">
        <v>1285</v>
      </c>
      <c r="H89" s="20" t="n">
        <v>-30</v>
      </c>
    </row>
    <row r="90" customFormat="false" ht="13.5" hidden="false" customHeight="true" outlineLevel="0" collapsed="false">
      <c r="G90" s="20" t="n">
        <v>518</v>
      </c>
      <c r="H90" s="20" t="n">
        <v>-60</v>
      </c>
    </row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16">
    <mergeCell ref="K9:AH9"/>
    <mergeCell ref="AJ9:AL9"/>
    <mergeCell ref="L11:P11"/>
    <mergeCell ref="T11:X11"/>
    <mergeCell ref="AB11:AF11"/>
    <mergeCell ref="AP18:AQ18"/>
    <mergeCell ref="K26:AG26"/>
    <mergeCell ref="AJ26:AL26"/>
    <mergeCell ref="L28:P28"/>
    <mergeCell ref="T28:X28"/>
    <mergeCell ref="AB28:AF28"/>
    <mergeCell ref="AB43:AG43"/>
    <mergeCell ref="L44:P44"/>
    <mergeCell ref="T44:Y44"/>
    <mergeCell ref="AP44:AT44"/>
    <mergeCell ref="AU44:AY4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015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8"/>
    <col collapsed="false" customWidth="true" hidden="false" outlineLevel="0" max="3" min="3" style="0" width="11.88"/>
    <col collapsed="false" customWidth="true" hidden="false" outlineLevel="0" max="4" min="4" style="0" width="12.88"/>
    <col collapsed="false" customWidth="true" hidden="false" outlineLevel="0" max="5" min="5" style="0" width="27.38"/>
    <col collapsed="false" customWidth="true" hidden="false" outlineLevel="0" max="6" min="6" style="0" width="20.99"/>
    <col collapsed="false" customWidth="true" hidden="false" outlineLevel="0" max="9" min="7" style="0" width="10.76"/>
    <col collapsed="false" customWidth="true" hidden="false" outlineLevel="0" max="10" min="10" style="0" width="22.88"/>
    <col collapsed="false" customWidth="true" hidden="false" outlineLevel="0" max="12" min="12" style="0" width="8.88"/>
    <col collapsed="false" customWidth="true" hidden="false" outlineLevel="0" max="26" min="13" style="0" width="10.76"/>
  </cols>
  <sheetData>
    <row r="1" customFormat="false" ht="15" hidden="false" customHeight="false" outlineLevel="0" collapsed="false">
      <c r="B1" s="20" t="s">
        <v>39</v>
      </c>
    </row>
    <row r="3" customFormat="false" ht="15" hidden="false" customHeight="false" outlineLevel="0" collapsed="false">
      <c r="A3" s="22" t="s">
        <v>40</v>
      </c>
      <c r="B3" s="22" t="s">
        <v>41</v>
      </c>
      <c r="C3" s="22" t="s">
        <v>42</v>
      </c>
      <c r="D3" s="22" t="s">
        <v>43</v>
      </c>
      <c r="E3" s="22" t="s">
        <v>44</v>
      </c>
      <c r="F3" s="22" t="s">
        <v>45</v>
      </c>
      <c r="J3" s="23" t="s">
        <v>46</v>
      </c>
      <c r="K3" s="23" t="s">
        <v>47</v>
      </c>
      <c r="L3" s="23" t="s">
        <v>42</v>
      </c>
    </row>
    <row r="4" customFormat="false" ht="15" hidden="false" customHeight="false" outlineLevel="0" collapsed="false">
      <c r="A4" s="24" t="s">
        <v>48</v>
      </c>
      <c r="B4" s="24" t="n">
        <v>22</v>
      </c>
      <c r="C4" s="24" t="n">
        <v>41</v>
      </c>
      <c r="D4" s="24" t="n">
        <v>7</v>
      </c>
      <c r="E4" s="24" t="s">
        <v>49</v>
      </c>
      <c r="F4" s="24" t="s">
        <v>50</v>
      </c>
      <c r="J4" s="20" t="s">
        <v>51</v>
      </c>
      <c r="K4" s="20" t="s">
        <v>52</v>
      </c>
      <c r="L4" s="20" t="n">
        <v>7</v>
      </c>
    </row>
    <row r="5" customFormat="false" ht="15" hidden="false" customHeight="false" outlineLevel="0" collapsed="false">
      <c r="A5" s="24" t="s">
        <v>53</v>
      </c>
      <c r="B5" s="24" t="n">
        <v>84</v>
      </c>
      <c r="C5" s="24" t="n">
        <v>31</v>
      </c>
      <c r="D5" s="24" t="n">
        <v>29</v>
      </c>
      <c r="E5" s="24" t="s">
        <v>54</v>
      </c>
      <c r="F5" s="24" t="s">
        <v>55</v>
      </c>
      <c r="J5" s="20" t="s">
        <v>56</v>
      </c>
      <c r="K5" s="20" t="s">
        <v>57</v>
      </c>
      <c r="L5" s="20" t="n">
        <v>9</v>
      </c>
    </row>
    <row r="6" customFormat="false" ht="15" hidden="false" customHeight="false" outlineLevel="0" collapsed="false">
      <c r="A6" s="24" t="s">
        <v>58</v>
      </c>
      <c r="B6" s="24" t="n">
        <v>16</v>
      </c>
      <c r="C6" s="24" t="n">
        <v>39</v>
      </c>
      <c r="D6" s="24" t="n">
        <v>8</v>
      </c>
      <c r="E6" s="24" t="s">
        <v>59</v>
      </c>
      <c r="F6" s="24" t="s">
        <v>60</v>
      </c>
      <c r="J6" s="20" t="s">
        <v>61</v>
      </c>
      <c r="K6" s="20" t="s">
        <v>62</v>
      </c>
      <c r="L6" s="20" t="n">
        <v>11</v>
      </c>
    </row>
    <row r="7" customFormat="false" ht="15" hidden="false" customHeight="false" outlineLevel="0" collapsed="false">
      <c r="A7" s="24" t="s">
        <v>63</v>
      </c>
      <c r="B7" s="24" t="n">
        <v>18</v>
      </c>
      <c r="C7" s="24" t="n">
        <v>38</v>
      </c>
      <c r="D7" s="24" t="n">
        <v>9</v>
      </c>
      <c r="E7" s="24" t="s">
        <v>64</v>
      </c>
      <c r="F7" s="24" t="s">
        <v>65</v>
      </c>
      <c r="J7" s="20" t="s">
        <v>66</v>
      </c>
      <c r="K7" s="20" t="s">
        <v>67</v>
      </c>
      <c r="L7" s="20" t="n">
        <v>13</v>
      </c>
    </row>
    <row r="8" customFormat="false" ht="15" hidden="false" customHeight="false" outlineLevel="0" collapsed="false">
      <c r="A8" s="24" t="s">
        <v>68</v>
      </c>
      <c r="B8" s="24" t="n">
        <v>34</v>
      </c>
      <c r="C8" s="24" t="n">
        <v>42</v>
      </c>
      <c r="D8" s="24" t="n">
        <v>4</v>
      </c>
      <c r="E8" s="24" t="s">
        <v>69</v>
      </c>
      <c r="F8" s="24" t="s">
        <v>70</v>
      </c>
      <c r="J8" s="20" t="s">
        <v>71</v>
      </c>
      <c r="K8" s="20" t="s">
        <v>72</v>
      </c>
      <c r="L8" s="20" t="n">
        <v>19</v>
      </c>
    </row>
    <row r="9" customFormat="false" ht="15" hidden="false" customHeight="false" outlineLevel="0" collapsed="false">
      <c r="A9" s="24" t="s">
        <v>73</v>
      </c>
      <c r="B9" s="24" t="n">
        <v>32</v>
      </c>
      <c r="C9" s="24" t="n">
        <v>45</v>
      </c>
      <c r="D9" s="24" t="n">
        <v>5</v>
      </c>
      <c r="E9" s="24" t="s">
        <v>74</v>
      </c>
      <c r="F9" s="24" t="s">
        <v>75</v>
      </c>
      <c r="J9" s="20" t="s">
        <v>76</v>
      </c>
      <c r="K9" s="20" t="s">
        <v>77</v>
      </c>
      <c r="L9" s="20" t="n">
        <v>21</v>
      </c>
    </row>
    <row r="10" customFormat="false" ht="15" hidden="false" customHeight="false" outlineLevel="0" collapsed="false">
      <c r="A10" s="24" t="s">
        <v>78</v>
      </c>
      <c r="B10" s="24" t="n">
        <v>87</v>
      </c>
      <c r="C10" s="24" t="n">
        <v>46</v>
      </c>
      <c r="D10" s="24" t="n">
        <v>6</v>
      </c>
      <c r="E10" s="24" t="s">
        <v>79</v>
      </c>
      <c r="F10" s="24" t="s">
        <v>80</v>
      </c>
      <c r="J10" s="20" t="s">
        <v>81</v>
      </c>
      <c r="K10" s="20" t="s">
        <v>82</v>
      </c>
      <c r="L10" s="20" t="n">
        <v>71</v>
      </c>
    </row>
    <row r="11" customFormat="false" ht="15" hidden="false" customHeight="false" outlineLevel="0" collapsed="false">
      <c r="A11" s="24" t="s">
        <v>83</v>
      </c>
      <c r="B11" s="24" t="n">
        <v>10</v>
      </c>
      <c r="C11" s="24" t="n">
        <v>29</v>
      </c>
      <c r="D11" s="24" t="n">
        <v>12</v>
      </c>
      <c r="E11" s="24" t="s">
        <v>84</v>
      </c>
      <c r="F11" s="24" t="s">
        <v>85</v>
      </c>
      <c r="J11" s="20" t="s">
        <v>66</v>
      </c>
      <c r="K11" s="20" t="s">
        <v>86</v>
      </c>
      <c r="L11" s="20" t="n">
        <v>69</v>
      </c>
    </row>
    <row r="12" customFormat="false" ht="15" hidden="false" customHeight="false" outlineLevel="0" collapsed="false">
      <c r="J12" s="20" t="s">
        <v>87</v>
      </c>
      <c r="K12" s="20" t="s">
        <v>88</v>
      </c>
      <c r="L12" s="20" t="n">
        <v>15</v>
      </c>
    </row>
    <row r="13" customFormat="false" ht="15" hidden="false" customHeight="false" outlineLevel="0" collapsed="false">
      <c r="J13" s="20" t="s">
        <v>89</v>
      </c>
      <c r="K13" s="20" t="s">
        <v>90</v>
      </c>
      <c r="L13" s="20" t="n">
        <v>17</v>
      </c>
    </row>
    <row r="20" customFormat="false" ht="15" hidden="false" customHeight="false" outlineLevel="0" collapsed="false">
      <c r="B20" s="22" t="s">
        <v>91</v>
      </c>
      <c r="C20" s="22" t="s">
        <v>92</v>
      </c>
    </row>
    <row r="21" customFormat="false" ht="15.75" hidden="false" customHeight="true" outlineLevel="0" collapsed="false">
      <c r="B21" s="24" t="s">
        <v>68</v>
      </c>
      <c r="C21" s="24" t="s">
        <v>48</v>
      </c>
    </row>
    <row r="22" customFormat="false" ht="15.75" hidden="false" customHeight="true" outlineLevel="0" collapsed="false">
      <c r="B22" s="24" t="s">
        <v>73</v>
      </c>
      <c r="C22" s="24" t="s">
        <v>53</v>
      </c>
    </row>
    <row r="23" customFormat="false" ht="15.75" hidden="false" customHeight="true" outlineLevel="0" collapsed="false">
      <c r="B23" s="24" t="s">
        <v>83</v>
      </c>
      <c r="C23" s="24" t="s">
        <v>93</v>
      </c>
    </row>
    <row r="24" customFormat="false" ht="15.75" hidden="false" customHeight="true" outlineLevel="0" collapsed="false">
      <c r="B24" s="24" t="s">
        <v>83</v>
      </c>
      <c r="C24" s="24" t="s">
        <v>94</v>
      </c>
    </row>
    <row r="25" customFormat="false" ht="15.75" hidden="false" customHeight="true" outlineLevel="0" collapsed="false">
      <c r="B25" s="24" t="s">
        <v>78</v>
      </c>
      <c r="C25" s="24" t="s">
        <v>95</v>
      </c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015625" defaultRowHeight="15" zeroHeight="false" outlineLevelRow="0" outlineLevelCol="0"/>
  <cols>
    <col collapsed="false" customWidth="true" hidden="false" outlineLevel="0" max="26" min="1" style="0" width="12.75"/>
  </cols>
  <sheetData>
    <row r="1" customFormat="false" ht="12.75" hidden="false" customHeight="true" outlineLevel="0" collapsed="false">
      <c r="A1" s="25" t="s">
        <v>96</v>
      </c>
      <c r="B1" s="26" t="s">
        <v>97</v>
      </c>
      <c r="C1" s="26" t="s">
        <v>98</v>
      </c>
      <c r="D1" s="26" t="s">
        <v>97</v>
      </c>
      <c r="E1" s="26" t="s">
        <v>97</v>
      </c>
      <c r="F1" s="26" t="s">
        <v>99</v>
      </c>
      <c r="G1" s="26" t="s">
        <v>97</v>
      </c>
      <c r="H1" s="26" t="s">
        <v>97</v>
      </c>
      <c r="I1" s="26" t="s">
        <v>97</v>
      </c>
      <c r="J1" s="26" t="s">
        <v>99</v>
      </c>
      <c r="K1" s="26" t="s">
        <v>98</v>
      </c>
    </row>
    <row r="2" customFormat="false" ht="12.75" hidden="false" customHeight="true" outlineLevel="0" collapsed="false">
      <c r="A2" s="25" t="s">
        <v>100</v>
      </c>
      <c r="B2" s="26" t="s">
        <v>101</v>
      </c>
      <c r="C2" s="26" t="s">
        <v>101</v>
      </c>
      <c r="D2" s="26" t="s">
        <v>102</v>
      </c>
      <c r="E2" s="26" t="s">
        <v>101</v>
      </c>
      <c r="F2" s="26" t="s">
        <v>101</v>
      </c>
      <c r="G2" s="26" t="s">
        <v>103</v>
      </c>
      <c r="H2" s="26" t="s">
        <v>104</v>
      </c>
      <c r="I2" s="26" t="s">
        <v>103</v>
      </c>
      <c r="J2" s="26" t="s">
        <v>101</v>
      </c>
      <c r="K2" s="26" t="s">
        <v>101</v>
      </c>
    </row>
    <row r="3" customFormat="false" ht="12.75" hidden="false" customHeight="true" outlineLevel="0" collapsed="false">
      <c r="A3" s="25" t="s">
        <v>105</v>
      </c>
      <c r="B3" s="26" t="s">
        <v>106</v>
      </c>
      <c r="C3" s="26" t="s">
        <v>107</v>
      </c>
      <c r="D3" s="26" t="s">
        <v>108</v>
      </c>
      <c r="E3" s="26" t="s">
        <v>106</v>
      </c>
      <c r="F3" s="26" t="s">
        <v>106</v>
      </c>
      <c r="G3" s="26" t="s">
        <v>109</v>
      </c>
      <c r="H3" s="26" t="s">
        <v>106</v>
      </c>
      <c r="I3" s="26" t="s">
        <v>106</v>
      </c>
      <c r="J3" s="26" t="s">
        <v>106</v>
      </c>
      <c r="K3" s="26" t="s">
        <v>109</v>
      </c>
    </row>
    <row r="4" customFormat="false" ht="12.75" hidden="false" customHeight="true" outlineLevel="0" collapsed="false">
      <c r="A4" s="25" t="s">
        <v>110</v>
      </c>
      <c r="B4" s="26" t="s">
        <v>111</v>
      </c>
      <c r="C4" s="26" t="s">
        <v>112</v>
      </c>
      <c r="D4" s="26" t="s">
        <v>113</v>
      </c>
      <c r="E4" s="26" t="s">
        <v>111</v>
      </c>
      <c r="F4" s="26" t="s">
        <v>114</v>
      </c>
      <c r="G4" s="26" t="s">
        <v>115</v>
      </c>
      <c r="H4" s="26" t="s">
        <v>116</v>
      </c>
      <c r="I4" s="26" t="s">
        <v>112</v>
      </c>
      <c r="J4" s="26" t="s">
        <v>116</v>
      </c>
      <c r="K4" s="26" t="s">
        <v>117</v>
      </c>
    </row>
    <row r="5" customFormat="false" ht="12.75" hidden="false" customHeight="true" outlineLevel="0" collapsed="false">
      <c r="A5" s="25" t="s">
        <v>118</v>
      </c>
      <c r="B5" s="26" t="s">
        <v>119</v>
      </c>
      <c r="C5" s="26" t="s">
        <v>120</v>
      </c>
      <c r="D5" s="26" t="s">
        <v>119</v>
      </c>
      <c r="E5" s="26" t="s">
        <v>121</v>
      </c>
      <c r="F5" s="26" t="s">
        <v>122</v>
      </c>
      <c r="G5" s="26" t="s">
        <v>119</v>
      </c>
      <c r="H5" s="26" t="s">
        <v>123</v>
      </c>
      <c r="I5" s="26" t="s">
        <v>124</v>
      </c>
      <c r="J5" s="26" t="s">
        <v>119</v>
      </c>
      <c r="K5" s="26" t="s">
        <v>125</v>
      </c>
    </row>
    <row r="6" customFormat="false" ht="12.75" hidden="false" customHeight="true" outlineLevel="0" collapsed="false">
      <c r="A6" s="25" t="s">
        <v>126</v>
      </c>
      <c r="B6" s="26" t="s">
        <v>127</v>
      </c>
      <c r="C6" s="26" t="s">
        <v>128</v>
      </c>
      <c r="D6" s="26" t="s">
        <v>129</v>
      </c>
      <c r="E6" s="26" t="s">
        <v>128</v>
      </c>
      <c r="F6" s="26" t="s">
        <v>130</v>
      </c>
      <c r="G6" s="26" t="s">
        <v>130</v>
      </c>
      <c r="H6" s="26" t="s">
        <v>128</v>
      </c>
      <c r="I6" s="26" t="s">
        <v>131</v>
      </c>
      <c r="J6" s="26" t="s">
        <v>127</v>
      </c>
      <c r="K6" s="26" t="s">
        <v>132</v>
      </c>
    </row>
    <row r="9" customFormat="false" ht="12.75" hidden="false" customHeight="true" outlineLevel="0" collapsed="false">
      <c r="A9" s="25" t="s">
        <v>96</v>
      </c>
      <c r="B9" s="26" t="s">
        <v>133</v>
      </c>
      <c r="C9" s="26" t="s">
        <v>134</v>
      </c>
      <c r="D9" s="26" t="s">
        <v>133</v>
      </c>
      <c r="E9" s="26" t="s">
        <v>133</v>
      </c>
      <c r="F9" s="26" t="s">
        <v>133</v>
      </c>
      <c r="G9" s="26" t="s">
        <v>133</v>
      </c>
      <c r="H9" s="26" t="s">
        <v>135</v>
      </c>
      <c r="I9" s="26" t="s">
        <v>133</v>
      </c>
      <c r="J9" s="26" t="s">
        <v>133</v>
      </c>
      <c r="K9" s="26" t="s">
        <v>133</v>
      </c>
    </row>
    <row r="10" customFormat="false" ht="12.75" hidden="false" customHeight="true" outlineLevel="0" collapsed="false">
      <c r="A10" s="25" t="s">
        <v>100</v>
      </c>
      <c r="B10" s="26" t="s">
        <v>136</v>
      </c>
      <c r="C10" s="26" t="s">
        <v>137</v>
      </c>
      <c r="D10" s="26" t="s">
        <v>138</v>
      </c>
      <c r="E10" s="26" t="s">
        <v>139</v>
      </c>
      <c r="F10" s="26" t="s">
        <v>137</v>
      </c>
      <c r="G10" s="26" t="s">
        <v>137</v>
      </c>
      <c r="H10" s="26" t="s">
        <v>138</v>
      </c>
      <c r="I10" s="26" t="s">
        <v>137</v>
      </c>
      <c r="J10" s="26" t="s">
        <v>140</v>
      </c>
      <c r="K10" s="26" t="s">
        <v>138</v>
      </c>
    </row>
    <row r="11" customFormat="false" ht="12.75" hidden="false" customHeight="true" outlineLevel="0" collapsed="false">
      <c r="A11" s="25" t="s">
        <v>105</v>
      </c>
      <c r="B11" s="26" t="s">
        <v>140</v>
      </c>
      <c r="C11" s="26" t="s">
        <v>141</v>
      </c>
      <c r="D11" s="26" t="s">
        <v>142</v>
      </c>
      <c r="E11" s="26" t="s">
        <v>141</v>
      </c>
      <c r="F11" s="26" t="s">
        <v>141</v>
      </c>
      <c r="G11" s="26" t="s">
        <v>141</v>
      </c>
      <c r="H11" s="26" t="s">
        <v>140</v>
      </c>
      <c r="I11" s="26" t="s">
        <v>141</v>
      </c>
      <c r="J11" s="26" t="s">
        <v>141</v>
      </c>
      <c r="K11" s="26" t="s">
        <v>141</v>
      </c>
    </row>
    <row r="12" customFormat="false" ht="12.75" hidden="false" customHeight="true" outlineLevel="0" collapsed="false">
      <c r="A12" s="25" t="s">
        <v>110</v>
      </c>
      <c r="B12" s="26" t="s">
        <v>143</v>
      </c>
      <c r="C12" s="26" t="s">
        <v>143</v>
      </c>
      <c r="D12" s="26" t="s">
        <v>144</v>
      </c>
      <c r="E12" s="26" t="s">
        <v>145</v>
      </c>
      <c r="F12" s="26" t="s">
        <v>143</v>
      </c>
      <c r="G12" s="26" t="s">
        <v>146</v>
      </c>
      <c r="H12" s="26" t="s">
        <v>143</v>
      </c>
      <c r="I12" s="26" t="s">
        <v>143</v>
      </c>
      <c r="J12" s="26" t="s">
        <v>147</v>
      </c>
      <c r="K12" s="26" t="s">
        <v>143</v>
      </c>
    </row>
    <row r="13" customFormat="false" ht="12.75" hidden="false" customHeight="true" outlineLevel="0" collapsed="false">
      <c r="A13" s="25" t="s">
        <v>118</v>
      </c>
      <c r="B13" s="26" t="s">
        <v>148</v>
      </c>
      <c r="C13" s="26" t="s">
        <v>149</v>
      </c>
      <c r="D13" s="26" t="s">
        <v>150</v>
      </c>
      <c r="E13" s="26" t="s">
        <v>150</v>
      </c>
      <c r="F13" s="26" t="s">
        <v>151</v>
      </c>
      <c r="G13" s="26" t="s">
        <v>151</v>
      </c>
      <c r="H13" s="26" t="s">
        <v>152</v>
      </c>
      <c r="I13" s="26" t="s">
        <v>151</v>
      </c>
      <c r="J13" s="26" t="s">
        <v>152</v>
      </c>
      <c r="K13" s="26" t="s">
        <v>153</v>
      </c>
    </row>
    <row r="14" customFormat="false" ht="12.75" hidden="false" customHeight="true" outlineLevel="0" collapsed="false">
      <c r="A14" s="25" t="s">
        <v>126</v>
      </c>
      <c r="B14" s="26" t="s">
        <v>154</v>
      </c>
      <c r="C14" s="26" t="s">
        <v>155</v>
      </c>
      <c r="D14" s="26" t="s">
        <v>156</v>
      </c>
      <c r="E14" s="26" t="s">
        <v>157</v>
      </c>
      <c r="F14" s="26" t="s">
        <v>158</v>
      </c>
      <c r="G14" s="26" t="s">
        <v>154</v>
      </c>
      <c r="H14" s="26" t="s">
        <v>155</v>
      </c>
      <c r="I14" s="26" t="s">
        <v>158</v>
      </c>
      <c r="J14" s="26" t="s">
        <v>158</v>
      </c>
      <c r="K14" s="26" t="s">
        <v>158</v>
      </c>
    </row>
    <row r="17" customFormat="false" ht="12.75" hidden="false" customHeight="true" outlineLevel="0" collapsed="false">
      <c r="A17" s="25" t="s">
        <v>96</v>
      </c>
      <c r="B17" s="26" t="s">
        <v>159</v>
      </c>
      <c r="C17" s="26" t="s">
        <v>159</v>
      </c>
      <c r="D17" s="26" t="s">
        <v>159</v>
      </c>
      <c r="E17" s="26" t="s">
        <v>159</v>
      </c>
      <c r="F17" s="26" t="s">
        <v>159</v>
      </c>
      <c r="G17" s="26" t="s">
        <v>159</v>
      </c>
      <c r="H17" s="26" t="s">
        <v>159</v>
      </c>
      <c r="I17" s="26" t="s">
        <v>159</v>
      </c>
      <c r="J17" s="26" t="s">
        <v>159</v>
      </c>
      <c r="K17" s="26" t="s">
        <v>160</v>
      </c>
    </row>
    <row r="18" customFormat="false" ht="12.75" hidden="false" customHeight="true" outlineLevel="0" collapsed="false">
      <c r="A18" s="25" t="s">
        <v>100</v>
      </c>
      <c r="B18" s="26" t="s">
        <v>161</v>
      </c>
      <c r="C18" s="26" t="s">
        <v>162</v>
      </c>
      <c r="D18" s="26" t="s">
        <v>162</v>
      </c>
      <c r="E18" s="26" t="s">
        <v>162</v>
      </c>
      <c r="F18" s="26" t="s">
        <v>163</v>
      </c>
      <c r="G18" s="26" t="s">
        <v>161</v>
      </c>
      <c r="H18" s="26" t="s">
        <v>161</v>
      </c>
      <c r="I18" s="26" t="s">
        <v>162</v>
      </c>
      <c r="J18" s="26" t="s">
        <v>161</v>
      </c>
      <c r="K18" s="26" t="s">
        <v>161</v>
      </c>
    </row>
    <row r="19" customFormat="false" ht="12.75" hidden="false" customHeight="true" outlineLevel="0" collapsed="false">
      <c r="A19" s="25" t="s">
        <v>105</v>
      </c>
      <c r="B19" s="26" t="s">
        <v>164</v>
      </c>
      <c r="C19" s="26" t="s">
        <v>165</v>
      </c>
      <c r="D19" s="26" t="s">
        <v>164</v>
      </c>
      <c r="E19" s="26" t="s">
        <v>164</v>
      </c>
      <c r="F19" s="26" t="s">
        <v>164</v>
      </c>
      <c r="G19" s="26" t="s">
        <v>166</v>
      </c>
      <c r="H19" s="26" t="s">
        <v>166</v>
      </c>
      <c r="I19" s="26" t="s">
        <v>164</v>
      </c>
      <c r="J19" s="26" t="s">
        <v>167</v>
      </c>
      <c r="K19" s="26" t="s">
        <v>165</v>
      </c>
    </row>
    <row r="20" customFormat="false" ht="12.75" hidden="false" customHeight="true" outlineLevel="0" collapsed="false">
      <c r="A20" s="25" t="s">
        <v>110</v>
      </c>
      <c r="B20" s="26" t="s">
        <v>168</v>
      </c>
      <c r="C20" s="26" t="s">
        <v>169</v>
      </c>
      <c r="D20" s="26" t="s">
        <v>170</v>
      </c>
      <c r="E20" s="26" t="s">
        <v>171</v>
      </c>
      <c r="F20" s="26" t="s">
        <v>172</v>
      </c>
      <c r="G20" s="26" t="s">
        <v>168</v>
      </c>
      <c r="H20" s="26" t="s">
        <v>170</v>
      </c>
      <c r="I20" s="26" t="s">
        <v>173</v>
      </c>
      <c r="J20" s="26" t="s">
        <v>168</v>
      </c>
      <c r="K20" s="26" t="s">
        <v>170</v>
      </c>
    </row>
    <row r="21" customFormat="false" ht="12.75" hidden="false" customHeight="true" outlineLevel="0" collapsed="false">
      <c r="A21" s="25" t="s">
        <v>118</v>
      </c>
      <c r="B21" s="26" t="s">
        <v>174</v>
      </c>
      <c r="C21" s="26" t="s">
        <v>175</v>
      </c>
      <c r="D21" s="26" t="s">
        <v>176</v>
      </c>
      <c r="E21" s="26" t="s">
        <v>177</v>
      </c>
      <c r="F21" s="26" t="s">
        <v>178</v>
      </c>
      <c r="G21" s="26" t="s">
        <v>174</v>
      </c>
      <c r="H21" s="26" t="s">
        <v>176</v>
      </c>
      <c r="I21" s="26" t="s">
        <v>179</v>
      </c>
      <c r="J21" s="26" t="s">
        <v>179</v>
      </c>
      <c r="K21" s="26" t="s">
        <v>180</v>
      </c>
    </row>
    <row r="22" customFormat="false" ht="12.75" hidden="false" customHeight="true" outlineLevel="0" collapsed="false">
      <c r="A22" s="25" t="s">
        <v>126</v>
      </c>
      <c r="B22" s="26" t="s">
        <v>181</v>
      </c>
      <c r="C22" s="26" t="s">
        <v>182</v>
      </c>
      <c r="D22" s="26" t="s">
        <v>183</v>
      </c>
      <c r="E22" s="26" t="s">
        <v>183</v>
      </c>
      <c r="F22" s="26" t="s">
        <v>184</v>
      </c>
      <c r="G22" s="26" t="s">
        <v>185</v>
      </c>
      <c r="H22" s="26" t="s">
        <v>184</v>
      </c>
      <c r="I22" s="26" t="s">
        <v>183</v>
      </c>
      <c r="J22" s="26" t="s">
        <v>186</v>
      </c>
      <c r="K22" s="26" t="s">
        <v>186</v>
      </c>
    </row>
    <row r="25" customFormat="false" ht="12.75" hidden="false" customHeight="true" outlineLevel="0" collapsed="false">
      <c r="A25" s="25" t="s">
        <v>96</v>
      </c>
      <c r="B25" s="26" t="s">
        <v>187</v>
      </c>
      <c r="C25" s="26" t="s">
        <v>187</v>
      </c>
      <c r="D25" s="26" t="s">
        <v>188</v>
      </c>
      <c r="E25" s="26" t="s">
        <v>187</v>
      </c>
      <c r="F25" s="26" t="s">
        <v>187</v>
      </c>
      <c r="G25" s="26" t="s">
        <v>189</v>
      </c>
      <c r="H25" s="26" t="s">
        <v>188</v>
      </c>
      <c r="I25" s="26" t="s">
        <v>189</v>
      </c>
      <c r="J25" s="26" t="s">
        <v>188</v>
      </c>
      <c r="K25" s="26" t="s">
        <v>187</v>
      </c>
    </row>
    <row r="26" customFormat="false" ht="12.75" hidden="false" customHeight="true" outlineLevel="0" collapsed="false">
      <c r="A26" s="25" t="s">
        <v>100</v>
      </c>
      <c r="B26" s="26" t="s">
        <v>190</v>
      </c>
      <c r="C26" s="26" t="s">
        <v>191</v>
      </c>
      <c r="D26" s="26" t="s">
        <v>191</v>
      </c>
      <c r="E26" s="26" t="s">
        <v>191</v>
      </c>
      <c r="F26" s="26" t="s">
        <v>191</v>
      </c>
      <c r="G26" s="26" t="s">
        <v>192</v>
      </c>
      <c r="H26" s="26" t="s">
        <v>192</v>
      </c>
      <c r="I26" s="26" t="s">
        <v>190</v>
      </c>
      <c r="J26" s="26" t="s">
        <v>191</v>
      </c>
      <c r="K26" s="26" t="s">
        <v>193</v>
      </c>
    </row>
    <row r="27" customFormat="false" ht="12.75" hidden="false" customHeight="true" outlineLevel="0" collapsed="false">
      <c r="A27" s="25" t="s">
        <v>105</v>
      </c>
      <c r="B27" s="26" t="s">
        <v>194</v>
      </c>
      <c r="C27" s="26" t="s">
        <v>195</v>
      </c>
      <c r="D27" s="26" t="s">
        <v>195</v>
      </c>
      <c r="E27" s="26" t="s">
        <v>196</v>
      </c>
      <c r="F27" s="26" t="s">
        <v>194</v>
      </c>
      <c r="G27" s="26" t="s">
        <v>196</v>
      </c>
      <c r="H27" s="26" t="s">
        <v>194</v>
      </c>
      <c r="I27" s="26" t="s">
        <v>195</v>
      </c>
      <c r="J27" s="26" t="s">
        <v>195</v>
      </c>
      <c r="K27" s="26" t="s">
        <v>194</v>
      </c>
    </row>
    <row r="28" customFormat="false" ht="12.75" hidden="false" customHeight="true" outlineLevel="0" collapsed="false">
      <c r="A28" s="25" t="s">
        <v>110</v>
      </c>
      <c r="B28" s="26" t="s">
        <v>197</v>
      </c>
      <c r="C28" s="26" t="s">
        <v>198</v>
      </c>
      <c r="D28" s="26" t="s">
        <v>199</v>
      </c>
      <c r="E28" s="26" t="s">
        <v>200</v>
      </c>
      <c r="F28" s="26" t="s">
        <v>201</v>
      </c>
      <c r="G28" s="26" t="s">
        <v>202</v>
      </c>
      <c r="H28" s="26" t="s">
        <v>203</v>
      </c>
      <c r="I28" s="26" t="s">
        <v>201</v>
      </c>
      <c r="J28" s="26" t="s">
        <v>203</v>
      </c>
      <c r="K28" s="26" t="s">
        <v>203</v>
      </c>
    </row>
    <row r="29" customFormat="false" ht="12.75" hidden="false" customHeight="true" outlineLevel="0" collapsed="false">
      <c r="A29" s="25" t="s">
        <v>118</v>
      </c>
      <c r="B29" s="26" t="s">
        <v>204</v>
      </c>
      <c r="C29" s="26" t="s">
        <v>205</v>
      </c>
      <c r="D29" s="26" t="s">
        <v>206</v>
      </c>
      <c r="E29" s="26" t="s">
        <v>207</v>
      </c>
      <c r="F29" s="26" t="s">
        <v>205</v>
      </c>
      <c r="G29" s="26" t="s">
        <v>208</v>
      </c>
      <c r="H29" s="26" t="s">
        <v>209</v>
      </c>
      <c r="I29" s="26" t="s">
        <v>210</v>
      </c>
      <c r="J29" s="26" t="s">
        <v>211</v>
      </c>
      <c r="K29" s="26" t="s">
        <v>212</v>
      </c>
    </row>
    <row r="30" customFormat="false" ht="12.75" hidden="false" customHeight="true" outlineLevel="0" collapsed="false">
      <c r="A30" s="25" t="s">
        <v>126</v>
      </c>
      <c r="B30" s="26" t="s">
        <v>213</v>
      </c>
      <c r="C30" s="26" t="s">
        <v>214</v>
      </c>
      <c r="D30" s="26" t="s">
        <v>215</v>
      </c>
      <c r="E30" s="26" t="s">
        <v>215</v>
      </c>
      <c r="F30" s="26" t="s">
        <v>215</v>
      </c>
      <c r="G30" s="26" t="s">
        <v>216</v>
      </c>
      <c r="H30" s="26" t="s">
        <v>217</v>
      </c>
      <c r="I30" s="26" t="s">
        <v>217</v>
      </c>
      <c r="J30" s="26" t="s">
        <v>217</v>
      </c>
      <c r="K30" s="26" t="s">
        <v>216</v>
      </c>
    </row>
    <row r="31" customFormat="false" ht="12.75" hidden="false" customHeight="true" outlineLevel="0" collapsed="false">
      <c r="A31" s="25" t="s">
        <v>218</v>
      </c>
      <c r="B31" s="26" t="s">
        <v>219</v>
      </c>
      <c r="C31" s="26" t="s">
        <v>220</v>
      </c>
      <c r="D31" s="26" t="s">
        <v>219</v>
      </c>
      <c r="E31" s="26" t="s">
        <v>219</v>
      </c>
      <c r="F31" s="26" t="s">
        <v>221</v>
      </c>
      <c r="G31" s="26" t="s">
        <v>219</v>
      </c>
      <c r="H31" s="26" t="s">
        <v>222</v>
      </c>
      <c r="I31" s="26" t="s">
        <v>222</v>
      </c>
      <c r="J31" s="26" t="s">
        <v>219</v>
      </c>
      <c r="K31" s="26" t="s">
        <v>219</v>
      </c>
    </row>
    <row r="32" customFormat="false" ht="12.75" hidden="false" customHeight="true" outlineLevel="0" collapsed="false">
      <c r="A32" s="25" t="s">
        <v>223</v>
      </c>
      <c r="B32" s="26" t="s">
        <v>224</v>
      </c>
      <c r="C32" s="26" t="s">
        <v>224</v>
      </c>
      <c r="D32" s="26" t="s">
        <v>225</v>
      </c>
      <c r="E32" s="26" t="s">
        <v>226</v>
      </c>
      <c r="F32" s="26" t="s">
        <v>227</v>
      </c>
      <c r="G32" s="26" t="s">
        <v>224</v>
      </c>
      <c r="H32" s="26" t="s">
        <v>225</v>
      </c>
      <c r="I32" s="26" t="s">
        <v>227</v>
      </c>
      <c r="J32" s="26" t="s">
        <v>224</v>
      </c>
      <c r="K32" s="26" t="s">
        <v>228</v>
      </c>
    </row>
    <row r="35" customFormat="false" ht="12.75" hidden="false" customHeight="true" outlineLevel="0" collapsed="false">
      <c r="A35" s="25" t="s">
        <v>96</v>
      </c>
      <c r="B35" s="26" t="s">
        <v>229</v>
      </c>
      <c r="C35" s="26" t="s">
        <v>229</v>
      </c>
      <c r="D35" s="26" t="s">
        <v>229</v>
      </c>
      <c r="E35" s="26" t="s">
        <v>229</v>
      </c>
      <c r="F35" s="26" t="s">
        <v>230</v>
      </c>
      <c r="G35" s="26" t="s">
        <v>231</v>
      </c>
      <c r="H35" s="26" t="s">
        <v>229</v>
      </c>
      <c r="I35" s="26" t="s">
        <v>229</v>
      </c>
      <c r="J35" s="26" t="s">
        <v>229</v>
      </c>
      <c r="K35" s="26" t="s">
        <v>231</v>
      </c>
    </row>
    <row r="36" customFormat="false" ht="12.75" hidden="false" customHeight="true" outlineLevel="0" collapsed="false">
      <c r="A36" s="25" t="s">
        <v>100</v>
      </c>
      <c r="B36" s="26" t="s">
        <v>232</v>
      </c>
      <c r="C36" s="26" t="s">
        <v>233</v>
      </c>
      <c r="D36" s="26" t="s">
        <v>234</v>
      </c>
      <c r="E36" s="26" t="s">
        <v>232</v>
      </c>
      <c r="F36" s="26" t="s">
        <v>235</v>
      </c>
      <c r="G36" s="26" t="s">
        <v>232</v>
      </c>
      <c r="H36" s="26" t="s">
        <v>233</v>
      </c>
      <c r="I36" s="26" t="s">
        <v>232</v>
      </c>
      <c r="J36" s="26" t="s">
        <v>233</v>
      </c>
      <c r="K36" s="26" t="s">
        <v>232</v>
      </c>
    </row>
    <row r="37" customFormat="false" ht="12.75" hidden="false" customHeight="true" outlineLevel="0" collapsed="false">
      <c r="A37" s="25" t="s">
        <v>105</v>
      </c>
      <c r="B37" s="26" t="s">
        <v>236</v>
      </c>
      <c r="C37" s="26" t="s">
        <v>236</v>
      </c>
      <c r="D37" s="26" t="s">
        <v>236</v>
      </c>
      <c r="E37" s="26" t="s">
        <v>237</v>
      </c>
      <c r="F37" s="26" t="s">
        <v>238</v>
      </c>
      <c r="G37" s="26" t="s">
        <v>239</v>
      </c>
      <c r="H37" s="26" t="s">
        <v>236</v>
      </c>
      <c r="I37" s="26" t="s">
        <v>236</v>
      </c>
      <c r="J37" s="26" t="s">
        <v>238</v>
      </c>
      <c r="K37" s="26" t="s">
        <v>238</v>
      </c>
    </row>
    <row r="38" customFormat="false" ht="12.75" hidden="false" customHeight="true" outlineLevel="0" collapsed="false">
      <c r="A38" s="25" t="s">
        <v>110</v>
      </c>
      <c r="B38" s="26" t="s">
        <v>240</v>
      </c>
      <c r="C38" s="26" t="s">
        <v>241</v>
      </c>
      <c r="D38" s="26" t="s">
        <v>242</v>
      </c>
      <c r="E38" s="26" t="s">
        <v>237</v>
      </c>
      <c r="F38" s="26" t="s">
        <v>243</v>
      </c>
      <c r="G38" s="26" t="s">
        <v>244</v>
      </c>
      <c r="H38" s="26" t="s">
        <v>244</v>
      </c>
      <c r="I38" s="26" t="s">
        <v>242</v>
      </c>
      <c r="J38" s="26" t="s">
        <v>244</v>
      </c>
      <c r="K38" s="26" t="s">
        <v>245</v>
      </c>
    </row>
    <row r="39" customFormat="false" ht="12.75" hidden="false" customHeight="true" outlineLevel="0" collapsed="false">
      <c r="A39" s="25" t="s">
        <v>118</v>
      </c>
      <c r="B39" s="26" t="s">
        <v>246</v>
      </c>
      <c r="C39" s="26" t="s">
        <v>247</v>
      </c>
      <c r="D39" s="26" t="s">
        <v>247</v>
      </c>
      <c r="E39" s="26" t="s">
        <v>248</v>
      </c>
      <c r="F39" s="26" t="s">
        <v>247</v>
      </c>
      <c r="G39" s="26" t="s">
        <v>249</v>
      </c>
      <c r="H39" s="26" t="s">
        <v>249</v>
      </c>
      <c r="I39" s="26" t="s">
        <v>250</v>
      </c>
      <c r="J39" s="26" t="s">
        <v>247</v>
      </c>
      <c r="K39" s="26" t="s">
        <v>251</v>
      </c>
    </row>
    <row r="40" customFormat="false" ht="12.75" hidden="false" customHeight="true" outlineLevel="0" collapsed="false">
      <c r="A40" s="25" t="s">
        <v>126</v>
      </c>
      <c r="B40" s="26" t="s">
        <v>252</v>
      </c>
      <c r="C40" s="26" t="s">
        <v>253</v>
      </c>
      <c r="D40" s="26" t="s">
        <v>254</v>
      </c>
      <c r="E40" s="26" t="s">
        <v>255</v>
      </c>
      <c r="F40" s="26" t="s">
        <v>256</v>
      </c>
      <c r="G40" s="26" t="s">
        <v>257</v>
      </c>
      <c r="H40" s="26" t="s">
        <v>258</v>
      </c>
      <c r="I40" s="26" t="s">
        <v>259</v>
      </c>
      <c r="J40" s="26" t="s">
        <v>259</v>
      </c>
      <c r="K40" s="26" t="s">
        <v>259</v>
      </c>
    </row>
    <row r="41" customFormat="false" ht="12.75" hidden="false" customHeight="true" outlineLevel="0" collapsed="false">
      <c r="A41" s="25" t="s">
        <v>218</v>
      </c>
      <c r="B41" s="26" t="s">
        <v>260</v>
      </c>
      <c r="C41" s="26" t="s">
        <v>261</v>
      </c>
      <c r="D41" s="26" t="s">
        <v>260</v>
      </c>
      <c r="E41" s="26" t="s">
        <v>260</v>
      </c>
      <c r="F41" s="26" t="s">
        <v>260</v>
      </c>
      <c r="G41" s="26" t="s">
        <v>260</v>
      </c>
      <c r="H41" s="26" t="s">
        <v>260</v>
      </c>
      <c r="I41" s="26" t="s">
        <v>262</v>
      </c>
      <c r="J41" s="26" t="s">
        <v>260</v>
      </c>
      <c r="K41" s="26" t="s">
        <v>262</v>
      </c>
    </row>
    <row r="42" customFormat="false" ht="12.75" hidden="false" customHeight="true" outlineLevel="0" collapsed="false">
      <c r="A42" s="25" t="s">
        <v>223</v>
      </c>
      <c r="B42" s="26" t="s">
        <v>263</v>
      </c>
      <c r="C42" s="26" t="s">
        <v>264</v>
      </c>
      <c r="D42" s="26" t="s">
        <v>264</v>
      </c>
      <c r="E42" s="26" t="s">
        <v>265</v>
      </c>
      <c r="F42" s="26" t="s">
        <v>266</v>
      </c>
      <c r="G42" s="26" t="s">
        <v>267</v>
      </c>
      <c r="H42" s="26" t="s">
        <v>264</v>
      </c>
      <c r="I42" s="26" t="s">
        <v>264</v>
      </c>
      <c r="J42" s="26" t="s">
        <v>265</v>
      </c>
      <c r="K42" s="26" t="s">
        <v>268</v>
      </c>
    </row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LibreOffice/7.0.0.3$Windows_X86_64 LibreOffice_project/8061b3e9204bef6b321a21033174034a5e2ea88e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2025-08-06T22:11:54Z</dcterms:created>
  <dc:creator>Gabriel Guardia</dc:creator>
  <dc:description/>
  <dc:language>es-ES</dc:language>
  <cp:lastModifiedBy/>
  <dcterms:modified xsi:type="dcterms:W3CDTF">2026-01-28T09:43:34Z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